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of Administrativo\Downloads\"/>
    </mc:Choice>
  </mc:AlternateContent>
  <xr:revisionPtr revIDLastSave="0" documentId="13_ncr:1_{3E2F480F-89BB-4859-BADC-E2D2021DB1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TROL DE COMPRAS " sheetId="1" r:id="rId1"/>
    <sheet name="DIRECCIONES DE OBRA " sheetId="2" r:id="rId2"/>
    <sheet name="CARTERAS VENCIADAS " sheetId="3" r:id="rId3"/>
  </sheets>
  <definedNames>
    <definedName name="_xlnm._FilterDatabase" localSheetId="0" hidden="1">'CONTROL DE COMPRAS '!$A$3:$AB$59</definedName>
    <definedName name="Z_2EAB88F3_12C3_4DA2_A005_91ADFF977F96_.wvu.FilterData" localSheetId="0" hidden="1">'CONTROL DE COMPRAS '!$A$3:$Z$59</definedName>
    <definedName name="Z_5E33247B_C249_4B1A_ADB5_D826C6EAD120_.wvu.FilterData" localSheetId="0" hidden="1">'CONTROL DE COMPRAS '!$A$3:$AB$59</definedName>
    <definedName name="Z_71C1906B_8171_4A0C_B860_4CEDBA534E37_.wvu.FilterData" localSheetId="0" hidden="1">'CONTROL DE COMPRAS '!$A$1</definedName>
    <definedName name="Z_E12B6CF8_FD27_4BD5_9211_8FC3AA5BD8F3_.wvu.FilterData" localSheetId="0" hidden="1">'CONTROL DE COMPRAS '!$A$1:$AB$59</definedName>
  </definedNames>
  <calcPr calcId="191029"/>
  <customWorkbookViews>
    <customWorkbookView name="Filtro 3" guid="{E12B6CF8-FD27-4BD5-9211-8FC3AA5BD8F3}" maximized="1" windowWidth="0" windowHeight="0" activeSheetId="0"/>
    <customWorkbookView name="Filtro 2" guid="{2EAB88F3-12C3-4DA2-A005-91ADFF977F96}" maximized="1" windowWidth="0" windowHeight="0" activeSheetId="0"/>
    <customWorkbookView name="Filtro 1" guid="{71C1906B-8171-4A0C-B860-4CEDBA534E37}" maximized="1" windowWidth="0" windowHeight="0" activeSheetId="0"/>
    <customWorkbookView name="Filtro 4" guid="{5E33247B-C249-4B1A-ADB5-D826C6EAD120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LKdDwylosIb/b9N3WHW/1dlGpk6F+lI4LKkqR4Wzrac="/>
    </ext>
  </extLst>
</workbook>
</file>

<file path=xl/calcChain.xml><?xml version="1.0" encoding="utf-8"?>
<calcChain xmlns="http://schemas.openxmlformats.org/spreadsheetml/2006/main">
  <c r="O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48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ID#AAABU_sSBsA
MARIA CAMILA OROZCO    (2024-11-06 14:42:54)
Se recibe el correo a las 5:08 pm</t>
        </r>
      </text>
    </comment>
    <comment ref="E58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ID#AAABU_8aKok
MARIA CAMILA OROZCO    (2024-11-06 21:20:52)
hora 3:29</t>
        </r>
      </text>
    </comment>
    <comment ref="E59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ID#AAABU_8aKoc
MARIA CAMILA OROZCO    (2024-11-06 21:19:49)
correo hora 4:10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fghboU1/BRKCKrVVl8VctG/YT2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5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ID#AAABuKhn_J0
Liced Vega    (2025-11-13 19:26:04)
Calle de la frescura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fZozj2SAvCGZ7GV8qSQgU99VmMg=="/>
    </ext>
  </extLst>
</comments>
</file>

<file path=xl/sharedStrings.xml><?xml version="1.0" encoding="utf-8"?>
<sst xmlns="http://schemas.openxmlformats.org/spreadsheetml/2006/main" count="1001" uniqueCount="327">
  <si>
    <t>CONTROL DE COMPRAS 2024-2025</t>
  </si>
  <si>
    <t>5. CERTIFICADOS DE CALIDAD POR PROVEEDOR  - CONTECSA 05. CERTIFICADOS DE CALIDAD POR PROVEEDOR  - CRA 50 05. CERTIFICADOS DE CALIDAD POR PROVEEDOR - PAVICONSTRUJC 05. CERTIFICADOS DE CALIDAD POR PROVEEDOR - CORDOBA</t>
  </si>
  <si>
    <t>05. CERTIFICADOS DE CALIDAD POR PROVEEDOR - PTAR2020  05. CERTIFICADOS DE CALIDAD VIPAR  05. CERTIFICADOS DE CALIDAD POR PROVEEDOR - MOMPOX21 05. CERTIFICADOS DE CALIDAD - CONSORCIO REDES CCC</t>
  </si>
  <si>
    <t xml:space="preserve">REQUISICION </t>
  </si>
  <si>
    <t>GESTIÓN DE COMPRAS</t>
  </si>
  <si>
    <t xml:space="preserve">ALMACEN Y LOGISTICA </t>
  </si>
  <si>
    <t>05. CERTIFICADOS DE CALIDAD POR PROVEEDOR  - JUAN DE ACOSTA</t>
  </si>
  <si>
    <t>5. CERTIFICADOS DE CALIDAD POR PROVEEDOR - CONSORCIO ATL</t>
  </si>
  <si>
    <t>ESTADO</t>
  </si>
  <si>
    <t>TIPO DE REQUERIMIENTO</t>
  </si>
  <si>
    <t>PRIORIDAD</t>
  </si>
  <si>
    <t>FECHA RQ</t>
  </si>
  <si>
    <t>No RQ</t>
  </si>
  <si>
    <t>Quien Realiza la RQ</t>
  </si>
  <si>
    <t>Centro de costos</t>
  </si>
  <si>
    <t>Quien compra?</t>
  </si>
  <si>
    <t xml:space="preserve">Material solicitado </t>
  </si>
  <si>
    <t>Observación del Proceso de Compras</t>
  </si>
  <si>
    <t>PROVEEDOR</t>
  </si>
  <si>
    <t>ODC</t>
  </si>
  <si>
    <t>ODS</t>
  </si>
  <si>
    <t>FORMA DE PAGO</t>
  </si>
  <si>
    <t xml:space="preserve">VALOR COMPRA </t>
  </si>
  <si>
    <t>FECHA ODC-ODS</t>
  </si>
  <si>
    <t xml:space="preserve">FECHA DE PAGO </t>
  </si>
  <si>
    <t>ENCARGADO 
DEL SEGUIMIENTO</t>
  </si>
  <si>
    <t xml:space="preserve">OBSERVACIONES DE SEGUIMIENTO DEL PEDIDO </t>
  </si>
  <si>
    <t>ENTREGADO</t>
  </si>
  <si>
    <t xml:space="preserve">No ENTRADA </t>
  </si>
  <si>
    <t xml:space="preserve">No. FACTURA </t>
  </si>
  <si>
    <t>FECHA DE CIERRE</t>
  </si>
  <si>
    <t xml:space="preserve">CERTIFICADO DE CALIDAD </t>
  </si>
  <si>
    <t xml:space="preserve">FICHA TECNICA </t>
  </si>
  <si>
    <t xml:space="preserve">GARANTIA </t>
  </si>
  <si>
    <t xml:space="preserve">OBSERVACIONES DE SEGUIMIENTO </t>
  </si>
  <si>
    <t xml:space="preserve">ANEXOS </t>
  </si>
  <si>
    <t>CERRADO</t>
  </si>
  <si>
    <t>COMPRAS</t>
  </si>
  <si>
    <t>NA</t>
  </si>
  <si>
    <t>GREICY VALENCIA</t>
  </si>
  <si>
    <t>PAVICONSTRUJC</t>
  </si>
  <si>
    <t xml:space="preserve">BATERIA DE RIESGO PSICOSOCIAL </t>
  </si>
  <si>
    <t xml:space="preserve">YORK IVAN PUERTO BARRIOS </t>
  </si>
  <si>
    <t>CONTADO</t>
  </si>
  <si>
    <t>LICED VEGA</t>
  </si>
  <si>
    <t>Ya se presto el servicio confirma Greicy Valencia</t>
  </si>
  <si>
    <t>SI</t>
  </si>
  <si>
    <t xml:space="preserve">ANULADO </t>
  </si>
  <si>
    <t xml:space="preserve">ALVARO RODRIGUEZ </t>
  </si>
  <si>
    <t>PTAR-SANTO TOMAS</t>
  </si>
  <si>
    <t>PTAR2020</t>
  </si>
  <si>
    <t xml:space="preserve">MATERIALES DE FERRETERIA </t>
  </si>
  <si>
    <t xml:space="preserve">Se anula ordenes, porque no fueorn consideradas para pagos debido a que el proyecto esta en suspension </t>
  </si>
  <si>
    <t xml:space="preserve">Buena esperanza </t>
  </si>
  <si>
    <t>NO</t>
  </si>
  <si>
    <t>PTE ENTREGA</t>
  </si>
  <si>
    <t xml:space="preserve">AURA LOPEZ </t>
  </si>
  <si>
    <t>PETAR SANTO TOMAS</t>
  </si>
  <si>
    <t>PASAMUROS Y TAPAS BRIDADA ATORNILLADA</t>
  </si>
  <si>
    <t>ANTICIPO DEL 60% SALDO A ENTREGA A SATISFACCION --DISPONIBILIDAD INMEDIANATA  PASAMURO Ø600MM EN HD PN 10, LXB (INGRESO MANHOLL). INCLUYE RECUBRIMIENTO EPOXICO RECOMENDADO SEGÚN PLANOS L= 0.75 M. ---TAPA BRIDADA ATORNILLADA 600 MM HD PN 10 (INGRESO A MANHOL) INCLUYE TORNILLERIA Y EMPAQUETADURA SEGÚN ESPECIFICACIONES TECNICAS PARA MONTAJE------PASAMURO Ø100MM (4") EN HD,  PN 10  LXB, PARA SELLO HIDRAULICO INCLUYE L, CODO 180°,  BRIDAS,  INCLUYE TORNILLERIA Y EMPAQUETADURA SEGÚN ESPECIFICACIONES TECNICAS PARA MONTAJE------</t>
  </si>
  <si>
    <t>JIMENEZ V. PROYECTOS DE INGENIERIA Y REDES SANITARIAS S.A.S.</t>
  </si>
  <si>
    <t xml:space="preserve">Proveedor entrega material queda pendiente por entregar 9 und de pasamuro 600mm en hd pn 10 lxb recubrimiento epoxic y 12 un de tapa bridada atornillada  </t>
  </si>
  <si>
    <t xml:space="preserve">PARCIAL </t>
  </si>
  <si>
    <t>PTAR-JUAN DE ACOSTA</t>
  </si>
  <si>
    <t>JUAN DE ACOSTA</t>
  </si>
  <si>
    <t>Puerta corta  fuego</t>
  </si>
  <si>
    <t>Puerta Cortafuego  para  subestacion RF120 -  Dampers corta fuego para boveda de transpoformador</t>
  </si>
  <si>
    <t>INGENIERIA METALMECANICA CONTRA EL FUEGO SAS</t>
  </si>
  <si>
    <t>Material a entregar en la semana de 27/01/25 al 31/01/25; Se recibe  material en almacen PTO 30/01/25; Pend INSTALACION esperando autorizacion de ingenieria que adecuen  el lugar; proveedor requiere cerrar la factura correspondiente a la orden de compra 215, ya que es del año 2024 esta tiene pendiente la instalacion, al consultar con la Ingeniera Aura dice que en un mes, se procede a pedir autorizacon de pago de factura quedando pendiente la instalacion se envia correo a Inge Aura solicitando aprobacion 24/02/25</t>
  </si>
  <si>
    <t xml:space="preserve">ELIANA MUÑOZ </t>
  </si>
  <si>
    <t>PARQUES DE BOLIVAR</t>
  </si>
  <si>
    <t>MOMPOX PQ</t>
  </si>
  <si>
    <t xml:space="preserve">LAMPARAS </t>
  </si>
  <si>
    <t xml:space="preserve">Esperando la oferta oficial por parte de la asesora - ya nos dió precios - se debe pasar la ODC sin compromiso para que la alisten - se envía la ODC 12/11/2024 - esperando para poder pagar </t>
  </si>
  <si>
    <t xml:space="preserve">SCHREDER </t>
  </si>
  <si>
    <t xml:space="preserve">18 NOV: pendiente confirmacion de tiempo de entrega  ---02DIC: Se envia la guia de tcc para que la ing. eliana este pendiente de la entrega </t>
  </si>
  <si>
    <t xml:space="preserve">CORDOBA </t>
  </si>
  <si>
    <t>CORDOBA</t>
  </si>
  <si>
    <t xml:space="preserve">700 bolsas de cemento </t>
  </si>
  <si>
    <t>se paso para pago odc de ultracem, recordar que esta pendiente el pago de la compra anterior de cemento del proveedor constru beraca</t>
  </si>
  <si>
    <t>ULTRACEM  SAS</t>
  </si>
  <si>
    <t xml:space="preserve">Esperando Pagos por parte de PYG- 06/11/2024 se va a entregar el dia de hoy </t>
  </si>
  <si>
    <t>ELKIN LASTRE</t>
  </si>
  <si>
    <t>2 BOMBAS SUMERGIBLE -110 V</t>
  </si>
  <si>
    <t xml:space="preserve">MAQUINARIA Y SOLUCIONES, pendiente de especificaciones - Maria camila pendiente por conversar con el Ing Elkin para ver si cerramos la compra - Se confirma la compra 07/11/2024 - Luisa debe darnos las especificaciones el dia de hoy 07/11/2024 me dijo que va a conseguir las especificaciones y nos confirma - 2 BOMBA SUMERGIBLE DE 2 PULGADAS DE 2 O 3 CABALLOS DE FUERZA -- En espera de correo de autorizacion - no se autirza, se solicita nueva cotización de plantas y bombas - se envía nueva cotización, en espera de autorización - se autoriza se envía cotizacion final a Maria Camila -13/11/2024 SE ENTREGA A PAGO </t>
  </si>
  <si>
    <t>MAQUINARIAS Y SOLUCIONES</t>
  </si>
  <si>
    <t xml:space="preserve">15/11/2024 Se entragaron 2 bombas y una planta - quedan pendiente 1 planta por entregar probablemente se entregen el martes 19 /11/2024    ---26/11/2024 hoy a medio dia la entregan - el señor pedro fue a buscar la planta alberto la va llevar mañana </t>
  </si>
  <si>
    <t>O00000253</t>
  </si>
  <si>
    <t xml:space="preserve">PROCESOS </t>
  </si>
  <si>
    <t xml:space="preserve">KARINA FRANCO </t>
  </si>
  <si>
    <t>CONTECSA-ADMINISTRATIVO</t>
  </si>
  <si>
    <t>CONTECSA</t>
  </si>
  <si>
    <t>ACTUALIZACIÓN DE CREDITO</t>
  </si>
  <si>
    <t>Se debe enviar la documentación a Diana actualizada junto a una carta que diga que no firmamos pagare</t>
  </si>
  <si>
    <t>G Y J FERRETERIA</t>
  </si>
  <si>
    <t xml:space="preserve">COMPUTADORES </t>
  </si>
  <si>
    <t xml:space="preserve">TECNONACHO - --- Se envio a pago </t>
  </si>
  <si>
    <t>TECNO NACHO</t>
  </si>
  <si>
    <t xml:space="preserve">CREDITO </t>
  </si>
  <si>
    <t xml:space="preserve">Se reciben los CPU y se entregan en Cartagena </t>
  </si>
  <si>
    <t xml:space="preserve">LUISA RUIZ </t>
  </si>
  <si>
    <t xml:space="preserve">GEOTEXTIL </t>
  </si>
  <si>
    <t xml:space="preserve">G Y J , durman </t>
  </si>
  <si>
    <t>Durman</t>
  </si>
  <si>
    <t xml:space="preserve">PEDIDO CANCELADO POR SOLICITUD DEL AREA TECNICA </t>
  </si>
  <si>
    <t>SANDRA JULIO</t>
  </si>
  <si>
    <t>EDUBAR-KRA50</t>
  </si>
  <si>
    <t xml:space="preserve">VIAL B/QUILLA </t>
  </si>
  <si>
    <t xml:space="preserve">pendon  70X 1M </t>
  </si>
  <si>
    <t>Se envía solciitud de cotización a BARUJ, esperando respuesta - tambien se envió a Maria Vargas - Ya estan listos, los deben recoger y dejarlos en JMD</t>
  </si>
  <si>
    <t>GRAFICAS EL REY</t>
  </si>
  <si>
    <t>Los busco el señor Pedro y los dejo en JMD - sandra solicitó este movimeinto</t>
  </si>
  <si>
    <t>CONSORCIO VIVIENDAS</t>
  </si>
  <si>
    <t xml:space="preserve">VIVIENDA </t>
  </si>
  <si>
    <t>29 PLASTICOS NEGROS a diferentes puntos de obras</t>
  </si>
  <si>
    <t xml:space="preserve">en espera de aprobacion de la orden de servicio --- se realizó el pago con una retención la cual no se debía aplicar y no despachan hasta que se pague el saldo </t>
  </si>
  <si>
    <t xml:space="preserve">CALYPSO </t>
  </si>
  <si>
    <t xml:space="preserve">el dia martes 12 de nov, la ing. Luisa mandara a recoger los plasticos en el turbo de la obra  </t>
  </si>
  <si>
    <t xml:space="preserve">Transporte de pajarita </t>
  </si>
  <si>
    <t xml:space="preserve">en espera de aprobacion </t>
  </si>
  <si>
    <t>ALVARO MONTIEL</t>
  </si>
  <si>
    <t xml:space="preserve">Transporte realizado </t>
  </si>
  <si>
    <t xml:space="preserve">CONTRATOS </t>
  </si>
  <si>
    <t>HOLMAN MARIANO</t>
  </si>
  <si>
    <t xml:space="preserve">ARRIENDO PREDIO POR DOS MESES </t>
  </si>
  <si>
    <t xml:space="preserve">Se realiza contacto con el dueño del predio, vamos a revisar el contrato y se manda a firma por parte del ingeneiro Olearis para pasar a Pagos - Se conversó con el Ing Olearis y lo va a revisar y firmar para mandar a pagos - se envía a pagos </t>
  </si>
  <si>
    <t>ALEJANDRO RICO</t>
  </si>
  <si>
    <t>CONTRATO</t>
  </si>
  <si>
    <t xml:space="preserve">Se pagó los dos meses del contrato </t>
  </si>
  <si>
    <t>TALA DE ARBOLES</t>
  </si>
  <si>
    <t xml:space="preserve">Envian propuesta para tala de arboles, se deben buscar dos opciones mas - Se solicita cotización a Florecer (Adriana Rodriguez) y a la empresa Vecina 29/10/2024 esperando respuesta </t>
  </si>
  <si>
    <t xml:space="preserve">Los va a cortar el señor Jose Orozco - informó el ingeneiro Serafin </t>
  </si>
  <si>
    <t xml:space="preserve">Aires para la oficina </t>
  </si>
  <si>
    <t xml:space="preserve">Tenemos una cotización que mandó Luisa - Una que Alberto esta gestionando con el señor Valderrama y una que va a conseguir Maria camila para tomar la decisión, la ides es que sea con intalación - SE ENVÍA CORREO DE AUTORIZACIÓN----- se pasa orden de compra para pagos </t>
  </si>
  <si>
    <t>CAE SOLUCIONES SAS</t>
  </si>
  <si>
    <t>Se realiza un anticipo de $1,000,000 - se debe pagar el restante el 05 de noviembre - SE REALIZA PAGO DEL ADICIONAL - en espera de la instalación</t>
  </si>
  <si>
    <t xml:space="preserve">GELLY IRIARTE </t>
  </si>
  <si>
    <t xml:space="preserve">Sistema de presion - Bomba </t>
  </si>
  <si>
    <t>se envia correo para solicitar la programacio 24/10/2024  no se ha recibido respuesta - Gelly debe dar respuesta al correo para que puedan programar la instalación - Gelly da respuesta al correo, esperando programación - lA BOMBA QUE ESTABA EN OBRA NO FUE LA QUE SE COMPRÓ se debe esperar el cambio de la misma e instalación - se entrega el 20/11/2024</t>
  </si>
  <si>
    <t xml:space="preserve">Falta la intalación de la bomba en la obra 16NOV:la ing. eliana informa que llegaron las bombas que no eran --18 Nov: en espera de que el proveedor confrime cuando se realiza el cambio </t>
  </si>
  <si>
    <t xml:space="preserve">FREDY GONZALEZ </t>
  </si>
  <si>
    <t xml:space="preserve">camara y caja fuerte </t>
  </si>
  <si>
    <t xml:space="preserve">Se van a comprar por Home Center - Alberto - SE DESISTE DE LA COMPRA </t>
  </si>
  <si>
    <t xml:space="preserve">DISCO DURO </t>
  </si>
  <si>
    <t>se compra y se intala en el equipo de Pedro Martinez</t>
  </si>
  <si>
    <t>Tecno nacho</t>
  </si>
  <si>
    <t>todo OK - repuesto instalado</t>
  </si>
  <si>
    <t>ARRIENDO DE BODCAT</t>
  </si>
  <si>
    <t xml:space="preserve">Se envía ODS firmada - 30 oct: se pago el 60% (solicitar soporte ) </t>
  </si>
  <si>
    <t>V&amp;G INGENIERIA Y PROYECTOS S.A.S</t>
  </si>
  <si>
    <t>Esperando pagos y recepción del equipo</t>
  </si>
  <si>
    <t xml:space="preserve">ARRIENDO PAJARITA EN CARTAGENA </t>
  </si>
  <si>
    <t>Se recibe documento por parte del proveedor, toca realziar la ODS - se envía ODS para firma - se envía ODS firmada</t>
  </si>
  <si>
    <t xml:space="preserve">SUS Equipos </t>
  </si>
  <si>
    <t>ALVARO RODRIGUEZ - P</t>
  </si>
  <si>
    <t xml:space="preserve">BANDEJAS </t>
  </si>
  <si>
    <t xml:space="preserve">COtizacion realizad por alvaro -  en espera de firma de autorizacion - El ing Ivan estaba de vacaciones, se debe gestionar la firma </t>
  </si>
  <si>
    <t>ANIXTER</t>
  </si>
  <si>
    <t xml:space="preserve">se pasa a pago 07/11/2024 --- 18 nov: en espera de la fecha de entrega--25| </t>
  </si>
  <si>
    <t xml:space="preserve">ABRIR DESTINO DE ULTRACEM </t>
  </si>
  <si>
    <t xml:space="preserve">Por contecsa crear destino en Cartagena, se debe verificar que el credito esta ok para que despachen el día viernes para cartagena bajo solciitud de la Ing Gelly ---06/11/24 en la tarde confriman la creacion de los destinos </t>
  </si>
  <si>
    <t>SERGIO JANACET</t>
  </si>
  <si>
    <t xml:space="preserve">2 Unidades Sanitarias </t>
  </si>
  <si>
    <t xml:space="preserve">2 unidades para el frente de obra FERROCARRIL </t>
  </si>
  <si>
    <t>Veolia</t>
  </si>
  <si>
    <t>ALBERTO CEBALLOS</t>
  </si>
  <si>
    <t xml:space="preserve">Cambiar correo de las remisiones de Argos </t>
  </si>
  <si>
    <t xml:space="preserve">Se envía correo al comercial de Argos para que se realice el proceso de cambio y/o actualización </t>
  </si>
  <si>
    <t xml:space="preserve">CEMENTOS ARGOS </t>
  </si>
  <si>
    <t xml:space="preserve">no es necesario, ya se habilito la plataforma para bajar las remisiones por ese medio </t>
  </si>
  <si>
    <t xml:space="preserve">alvaro montiel </t>
  </si>
  <si>
    <t xml:space="preserve">ELKIN LASTRE </t>
  </si>
  <si>
    <t xml:space="preserve">Laboratorios </t>
  </si>
  <si>
    <t xml:space="preserve">en espera de documentos - Autorizado por Elkin se pasa a pagos </t>
  </si>
  <si>
    <t xml:space="preserve">GHV infreestructura </t>
  </si>
  <si>
    <t xml:space="preserve">ACERO </t>
  </si>
  <si>
    <t xml:space="preserve">93 varillas de 1/2 corrugadas para la carolina y nueva granada --12/11/2024 se envia a pago </t>
  </si>
  <si>
    <t xml:space="preserve">pendiente de aprobacion </t>
  </si>
  <si>
    <t>PEND</t>
  </si>
  <si>
    <t>ANTISOL 6 unidades</t>
  </si>
  <si>
    <t>1978 Antisol -12/11/2024 se envia a pago DEL 100%</t>
  </si>
  <si>
    <t>CONCESION JY SAS</t>
  </si>
  <si>
    <t>ANTICIPO</t>
  </si>
  <si>
    <t xml:space="preserve">Varillas corrugadad de 3/8 - 672Unds y de 1/2 - 245Unds - ´para la Carolina y Nueva Granada--12/11/2024 se envia a pago </t>
  </si>
  <si>
    <t xml:space="preserve">se paso a pago  se cancela la orden la ing. luisa va a enviar una nueva requisicion con las cantiadades necesarias </t>
  </si>
  <si>
    <t>DURMAN</t>
  </si>
  <si>
    <t>4 Pulverizadores</t>
  </si>
  <si>
    <t xml:space="preserve">Se compra por mercado libre - se compraron por caja menor </t>
  </si>
  <si>
    <t>CARMEN PEREZ</t>
  </si>
  <si>
    <t xml:space="preserve">DOTACION </t>
  </si>
  <si>
    <t xml:space="preserve">06/11/2024 EL MARTES12/11/2024 ENTREGA EL RESTO DEL PEDIDO </t>
  </si>
  <si>
    <t>SUSANA ACEVEDO</t>
  </si>
  <si>
    <t>Se entregaron solo las camisa azules de drill - entrega el martes 12 de noviembre-13/11/24-  entrega de Jean administrativo - queda pendiente por entregar  el miercoles , camisa oxford azules 4 y 2 camisas en drill 23/11/2024--</t>
  </si>
  <si>
    <t xml:space="preserve">jairo malo </t>
  </si>
  <si>
    <t xml:space="preserve">curvas y tubos </t>
  </si>
  <si>
    <r>
      <rPr>
        <sz val="10"/>
        <color rgb="FF000000"/>
        <rFont val="Arial"/>
      </rPr>
      <t>se piede por el credito -</t>
    </r>
    <r>
      <rPr>
        <sz val="10"/>
        <color rgb="FF000000"/>
        <rFont val="Arial"/>
      </rPr>
      <t xml:space="preserve"> buscar firmas de ODC</t>
    </r>
  </si>
  <si>
    <t xml:space="preserve">KW ELECTRIC </t>
  </si>
  <si>
    <t>Se recibió en obra</t>
  </si>
  <si>
    <t xml:space="preserve">DOTACION DE LA OFICINA </t>
  </si>
  <si>
    <t xml:space="preserve">Se pago con la TC del profesional administrativo </t>
  </si>
  <si>
    <t xml:space="preserve">Homcenter </t>
  </si>
  <si>
    <t>Se entregó en oficina de cartagena</t>
  </si>
  <si>
    <t xml:space="preserve">CONCRETO </t>
  </si>
  <si>
    <t xml:space="preserve">Hablar con la asesora de ultracem para confirmar la creacion de los frentes 6/11/24: me confirma hoy si lo crearon </t>
  </si>
  <si>
    <t xml:space="preserve"> </t>
  </si>
  <si>
    <t>TINTAS DEL PLOTTER</t>
  </si>
  <si>
    <t>se solicita citizacion en lexco y caroco</t>
  </si>
  <si>
    <t>LEXCO</t>
  </si>
  <si>
    <t>Proveedor informa salida de material hoy 18/02/25 llega a almacen Pto  19/02/25  en espera de remision de salida  y pantallazo de ruta ; se recibe  No. remesa 138678379 TCC, Se recibe pedido remesa 138678379 20/02/25</t>
  </si>
  <si>
    <t xml:space="preserve">MARIA CAMILA </t>
  </si>
  <si>
    <t xml:space="preserve">remisiones para soportar facturas </t>
  </si>
  <si>
    <t xml:space="preserve">se solicito a la ing. eliana las fotos de las remisiones </t>
  </si>
  <si>
    <t xml:space="preserve">Varios </t>
  </si>
  <si>
    <t xml:space="preserve">varios </t>
  </si>
  <si>
    <t xml:space="preserve">SEÑALES </t>
  </si>
  <si>
    <t xml:space="preserve">Comprar señales de CUIDADO PERRO PELIGROSO - se desiste e la compra </t>
  </si>
  <si>
    <t xml:space="preserve">GALO FREYLE </t>
  </si>
  <si>
    <t xml:space="preserve">HIDROGUJIRA </t>
  </si>
  <si>
    <t xml:space="preserve">Mantenimiento de molinos </t>
  </si>
  <si>
    <t xml:space="preserve">el ing. Galo envio correo con las cotizaciones </t>
  </si>
  <si>
    <t>Molinos de viento braewin</t>
  </si>
  <si>
    <t>Se envio a pago 08/11/2024</t>
  </si>
  <si>
    <t xml:space="preserve">SALDO A FAVOR EN PAVCO DE </t>
  </si>
  <si>
    <t>se envia correo a eddy para ver si hay algun saldo a favor, solo se facturo de la orden $4.164.132 ---12/11/2024 nos notifican el saldo a favor por falta de entrega de tuberia ( 1,751,606)</t>
  </si>
  <si>
    <t xml:space="preserve">PAVCO </t>
  </si>
  <si>
    <t>N</t>
  </si>
  <si>
    <t>8 termos de agua de 40 Lts, basurero y bolsa de basura</t>
  </si>
  <si>
    <t xml:space="preserve">Comprar por credito en CINCOM </t>
  </si>
  <si>
    <t>CINCOM</t>
  </si>
  <si>
    <t xml:space="preserve">COMBUSTIBLES </t>
  </si>
  <si>
    <t xml:space="preserve">no se ha pagado la factura anterior sin el pago no nos despachan el nuevo pedido </t>
  </si>
  <si>
    <t xml:space="preserve">biocorporation </t>
  </si>
  <si>
    <t xml:space="preserve">GUSTAVO ALONSO  </t>
  </si>
  <si>
    <t xml:space="preserve">pendiente de entrega </t>
  </si>
  <si>
    <t xml:space="preserve">LAVATRAPERO Y ESPEJO </t>
  </si>
  <si>
    <t xml:space="preserve">Se va a gestionar la compra de los Lavatrapero con  Granitos de la costa 20 días de fabricación </t>
  </si>
  <si>
    <t xml:space="preserve">GRANITOS DE LA COSTA </t>
  </si>
  <si>
    <t>se paso a pago07/11/2024</t>
  </si>
  <si>
    <t xml:space="preserve">varillas, soldadura, discos de corte </t>
  </si>
  <si>
    <t xml:space="preserve">para los portones </t>
  </si>
  <si>
    <t xml:space="preserve">Metales la patria </t>
  </si>
  <si>
    <t>ALMUERZOS OBRA</t>
  </si>
  <si>
    <t xml:space="preserve">Se realiza ODS con el proveedor y se llega a un acuerdo de suministro de almuerzos </t>
  </si>
  <si>
    <t>Freddy Arenas</t>
  </si>
  <si>
    <t>Se inicia suministro el día 06/11/2024 en obras</t>
  </si>
  <si>
    <t xml:space="preserve">TORNILLOS </t>
  </si>
  <si>
    <t xml:space="preserve">Cotizacion realizada por el ing, alvaro </t>
  </si>
  <si>
    <t xml:space="preserve">Mundial de tornillos </t>
  </si>
  <si>
    <t>se envia a pago 07/11/2024</t>
  </si>
  <si>
    <t>EPP</t>
  </si>
  <si>
    <t xml:space="preserve">recarga de extintores </t>
  </si>
  <si>
    <t xml:space="preserve">Se envia a cotizar a gyj </t>
  </si>
  <si>
    <t xml:space="preserve">Se recibe material en obra </t>
  </si>
  <si>
    <t>BO00000115 - BO0000089</t>
  </si>
  <si>
    <t xml:space="preserve">LOSETAS </t>
  </si>
  <si>
    <t xml:space="preserve">se anula por indicaciones de ingenieria </t>
  </si>
  <si>
    <t xml:space="preserve">FABRICA METROPOLITANA DE BLOQUES </t>
  </si>
  <si>
    <t>CONSORCIO VIPAR</t>
  </si>
  <si>
    <t>MOMPOX 21</t>
  </si>
  <si>
    <t xml:space="preserve">ULTRACEM </t>
  </si>
  <si>
    <t xml:space="preserve">BOTAS </t>
  </si>
  <si>
    <t>ALFONSOEME</t>
  </si>
  <si>
    <t>CONSORCIO REDES CCC</t>
  </si>
  <si>
    <t xml:space="preserve">CONCESION JY </t>
  </si>
  <si>
    <t>EMPRESA</t>
  </si>
  <si>
    <t>NIT</t>
  </si>
  <si>
    <t>DIRECCION</t>
  </si>
  <si>
    <t xml:space="preserve">OFICINA </t>
  </si>
  <si>
    <t>CONGLOMERADO TECNICO COLOMBIANO SAS</t>
  </si>
  <si>
    <t>802005436-1</t>
  </si>
  <si>
    <t>KM 98 +600 VIA AL MAR - SECTOR ANTORCHA - PUERTO COLOMBIA, ATLANTICO</t>
  </si>
  <si>
    <t>CONSORCIO SANEAMIENTO JUAN DE ACOSTA</t>
  </si>
  <si>
    <t>901499439-1</t>
  </si>
  <si>
    <t>CORREGIMIENTO VAIVEN - SECTOR LA MARACUYA - TROCHA EL PELIGRO A 200 MT</t>
  </si>
  <si>
    <t>CONSORCIO PTAR ATLANTICO 2020</t>
  </si>
  <si>
    <t>901318990-1</t>
  </si>
  <si>
    <t>VIA ORIENTAL PR 62 - TROCHA LOS PENITENTES - SANTO TOMAS, ATLANTICO</t>
  </si>
  <si>
    <t>CONSORCIO VIAL DE SUCRE 2021</t>
  </si>
  <si>
    <t>901512058-2</t>
  </si>
  <si>
    <t>VIA QUE CONDUCE DEL DELIRIO A PUERTO VIEJO - CORREGIMIENTO DE SANTIAGO DE TOLU. KM 6 + 200 - FINCA MARENCO ---------------------- CALLE 17 CON CARRERA 6 ESQUINA - SEGUNDO PISO</t>
  </si>
  <si>
    <t>CONSORCIO CONSTRUCTOR VIAL DEL DESARROLLO 2022</t>
  </si>
  <si>
    <t>901581569-9</t>
  </si>
  <si>
    <t>KM 13 VIA CORDOBA - SAN ANDRES ---------- CALLE 6 CON CRA 4A - 58 - CORDOBA, BOLIVAR</t>
  </si>
  <si>
    <t>Calle 6 Cra 4A- 42 Barrio abajo</t>
  </si>
  <si>
    <t>https://www.google.com/maps/place/9%C2%B033'27.4%22N+74%C2%B052'25.6%22W/@9.5385328,-74.8817784,14.75z/data=!4m4!3m3!8m2!3d9.5576111!4d-74.8737778?hl=es&amp;entry=ttu&amp;g_ep=EgoyMDI1MDUwNS4wIKXMDSoASAFQAw%3D%3D</t>
  </si>
  <si>
    <t>CONSORCIO MOMPOX 21</t>
  </si>
  <si>
    <t>901556297-5</t>
  </si>
  <si>
    <t>CRA 1 (ALBARRADA) KM 1 VIA MOMPOX - GUATACA. LOTE POTRERITO - DETRÁS DEL COLEGIO LA NORMAL. MOMPOX, BOLIVAR</t>
  </si>
  <si>
    <t>CONSORCIO PARQUES CULTURALES DE BOLIVAR</t>
  </si>
  <si>
    <t>901528725-7</t>
  </si>
  <si>
    <t>ALBARRADA CALLE ARRIBA CARRERA 1 # 10A - 09</t>
  </si>
  <si>
    <t>TRANSPORTES CONSTRUIR</t>
  </si>
  <si>
    <t>901415031-9</t>
  </si>
  <si>
    <t>CONSORCIO CONSTRUPARQUE TACASUAN</t>
  </si>
  <si>
    <t>901636572-1</t>
  </si>
  <si>
    <t>CALLE 17 # 22 - 140 - BARRIO PASATIEMPO - CENTRO RECREACIONAL TACASUAN. MONTERIA, CORDOBA</t>
  </si>
  <si>
    <t>CONSORCIO VIPAR 2024</t>
  </si>
  <si>
    <t>901899718-6</t>
  </si>
  <si>
    <t>CARRERA 2 ENTRE CALLE 21 Y 22 CASA</t>
  </si>
  <si>
    <t>CARRERA 2 N 21 98 BRR ABAJO MOMPOS</t>
  </si>
  <si>
    <t>https://www.google.com/maps?q=9.2236394,-74.4161284&amp;z=17&amp;hl=es</t>
  </si>
  <si>
    <t>Planta / campamento</t>
  </si>
  <si>
    <t>https://www.google.com/maps?q=9.2509128,-74.4287649&amp;z=17&amp;hl=es</t>
  </si>
  <si>
    <t>Consorcio Paviconstrujc</t>
  </si>
  <si>
    <t>901868807-0</t>
  </si>
  <si>
    <t>Urb portales de la India - frente al coliseo Rocky Valdez / Manga, nuevo dandy calle 29A 23A-79 (Oficina)</t>
  </si>
  <si>
    <t>LA INDIA</t>
  </si>
  <si>
    <t>Consorcio Redes</t>
  </si>
  <si>
    <t>901957105-0</t>
  </si>
  <si>
    <t>https://www.google.com/maps?q=10.5394716,-75.4221565&amp;z=17&amp;hl=es</t>
  </si>
  <si>
    <t xml:space="preserve">CAMPAMENTO </t>
  </si>
  <si>
    <t>https://www.google.com/maps?q=10.536880493164062,-75.3997802734375&amp;z=17&amp;hl=es</t>
  </si>
  <si>
    <t>Punto de Atencion Social</t>
  </si>
  <si>
    <t>Consorcio Desarrollo Vial Barranquilla</t>
  </si>
  <si>
    <t>901816477-0</t>
  </si>
  <si>
    <t>Calle 80 con carrera 50 y 49</t>
  </si>
  <si>
    <t xml:space="preserve">PROVEEDOR </t>
  </si>
  <si>
    <t xml:space="preserve">VALOR </t>
  </si>
  <si>
    <t xml:space="preserve">PROYECTO </t>
  </si>
  <si>
    <t>VENCIMIENTO</t>
  </si>
  <si>
    <t>G Y J FERRETERIAS S A</t>
  </si>
  <si>
    <t xml:space="preserve">JORGE BOJACA INGENIERIA </t>
  </si>
  <si>
    <t xml:space="preserve">OTONIEL </t>
  </si>
  <si>
    <t xml:space="preserve">SANEN </t>
  </si>
  <si>
    <t xml:space="preserve">ARRIENDO </t>
  </si>
  <si>
    <t xml:space="preserve">GRUPO KAJA BOTAS </t>
  </si>
  <si>
    <t xml:space="preserve">INPROTET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</si>
</sst>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&quot;$&quot;#,##0"/>
    <numFmt numFmtId="166" formatCode="dd/mm/yyyy"/>
  </numFmts>
  <fonts count="24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u/>
      <sz val="10"/>
      <color theme="1"/>
      <name val="Arial"/>
    </font>
    <font>
      <sz val="10"/>
      <name val="Arial"/>
    </font>
    <font>
      <u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  <scheme val="minor"/>
    </font>
    <font>
      <b/>
      <sz val="10"/>
      <color rgb="FF000000"/>
      <name val="Arial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theme="1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4"/>
      <color rgb="FF000000"/>
      <name val="Calibri"/>
    </font>
    <font>
      <b/>
      <sz val="10"/>
      <color theme="1"/>
      <name val="Arial"/>
      <scheme val="minor"/>
    </font>
    <font>
      <sz val="14"/>
      <color rgb="FF000000"/>
      <name val="Calibri"/>
    </font>
    <font>
      <u/>
      <sz val="10"/>
      <color rgb="FF0000FF"/>
      <name val="Arial"/>
    </font>
    <font>
      <sz val="14"/>
      <color theme="1"/>
      <name val="Calibri"/>
    </font>
    <font>
      <u/>
      <sz val="10"/>
      <color rgb="FF0000FF"/>
      <name val="Arial"/>
    </font>
    <font>
      <u/>
      <sz val="14"/>
      <color rgb="FF0000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2F208"/>
        <bgColor rgb="FFF2F208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4" fontId="5" fillId="3" borderId="8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12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164" fontId="10" fillId="6" borderId="14" xfId="0" applyNumberFormat="1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left" vertical="center"/>
    </xf>
    <xf numFmtId="0" fontId="11" fillId="7" borderId="14" xfId="0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horizontal="center" vertical="center"/>
    </xf>
    <xf numFmtId="165" fontId="11" fillId="7" borderId="14" xfId="0" applyNumberFormat="1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 wrapText="1"/>
    </xf>
    <xf numFmtId="0" fontId="11" fillId="9" borderId="14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164" fontId="14" fillId="0" borderId="12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left" vertical="center" wrapText="1"/>
    </xf>
    <xf numFmtId="165" fontId="14" fillId="0" borderId="12" xfId="0" applyNumberFormat="1" applyFont="1" applyBorder="1" applyAlignment="1">
      <alignment vertical="center"/>
    </xf>
    <xf numFmtId="166" fontId="14" fillId="0" borderId="12" xfId="0" applyNumberFormat="1" applyFont="1" applyBorder="1" applyAlignment="1">
      <alignment vertical="center"/>
    </xf>
    <xf numFmtId="164" fontId="14" fillId="0" borderId="12" xfId="0" applyNumberFormat="1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166" fontId="14" fillId="0" borderId="12" xfId="0" applyNumberFormat="1" applyFont="1" applyBorder="1" applyAlignment="1">
      <alignment vertical="center" wrapText="1"/>
    </xf>
    <xf numFmtId="0" fontId="15" fillId="0" borderId="12" xfId="0" applyFont="1" applyBorder="1" applyAlignment="1">
      <alignment horizontal="center"/>
    </xf>
    <xf numFmtId="0" fontId="16" fillId="0" borderId="12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4" fillId="0" borderId="12" xfId="0" applyFont="1" applyBorder="1" applyAlignment="1">
      <alignment vertical="center" wrapText="1"/>
    </xf>
    <xf numFmtId="166" fontId="14" fillId="0" borderId="12" xfId="0" applyNumberFormat="1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/>
    </xf>
    <xf numFmtId="0" fontId="16" fillId="0" borderId="12" xfId="0" applyFont="1" applyBorder="1" applyAlignment="1"/>
    <xf numFmtId="0" fontId="16" fillId="0" borderId="12" xfId="0" applyFont="1" applyBorder="1"/>
    <xf numFmtId="0" fontId="16" fillId="0" borderId="0" xfId="0" applyFont="1" applyAlignment="1">
      <alignment horizontal="center"/>
    </xf>
    <xf numFmtId="0" fontId="16" fillId="0" borderId="0" xfId="0" applyFont="1" applyAlignment="1">
      <alignment wrapText="1"/>
    </xf>
    <xf numFmtId="0" fontId="17" fillId="0" borderId="12" xfId="0" applyFont="1" applyBorder="1" applyAlignment="1">
      <alignment horizontal="center" wrapText="1"/>
    </xf>
    <xf numFmtId="0" fontId="17" fillId="0" borderId="15" xfId="0" applyFont="1" applyBorder="1" applyAlignment="1">
      <alignment horizontal="center"/>
    </xf>
    <xf numFmtId="0" fontId="17" fillId="0" borderId="15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9" fillId="0" borderId="16" xfId="0" applyFont="1" applyBorder="1" applyAlignment="1">
      <alignment wrapText="1"/>
    </xf>
    <xf numFmtId="0" fontId="19" fillId="0" borderId="9" xfId="0" applyFont="1" applyBorder="1" applyAlignment="1"/>
    <xf numFmtId="0" fontId="19" fillId="0" borderId="9" xfId="0" applyFont="1" applyBorder="1" applyAlignment="1">
      <alignment wrapText="1"/>
    </xf>
    <xf numFmtId="0" fontId="20" fillId="0" borderId="12" xfId="0" applyFont="1" applyBorder="1" applyAlignment="1">
      <alignment wrapText="1"/>
    </xf>
    <xf numFmtId="0" fontId="21" fillId="0" borderId="12" xfId="0" applyFont="1" applyBorder="1" applyAlignment="1">
      <alignment wrapText="1"/>
    </xf>
    <xf numFmtId="0" fontId="21" fillId="0" borderId="12" xfId="0" applyFont="1" applyBorder="1" applyAlignment="1"/>
    <xf numFmtId="0" fontId="22" fillId="0" borderId="0" xfId="0" applyFont="1" applyAlignment="1"/>
    <xf numFmtId="0" fontId="23" fillId="0" borderId="12" xfId="0" applyFont="1" applyBorder="1" applyAlignment="1">
      <alignment wrapText="1"/>
    </xf>
    <xf numFmtId="0" fontId="21" fillId="0" borderId="0" xfId="0" applyFont="1" applyAlignment="1">
      <alignment wrapText="1"/>
    </xf>
    <xf numFmtId="0" fontId="21" fillId="0" borderId="0" xfId="0" applyFont="1" applyAlignment="1"/>
    <xf numFmtId="0" fontId="21" fillId="0" borderId="0" xfId="0" applyFont="1" applyAlignment="1">
      <alignment wrapText="1"/>
    </xf>
    <xf numFmtId="0" fontId="21" fillId="0" borderId="0" xfId="0" applyFont="1"/>
    <xf numFmtId="0" fontId="21" fillId="0" borderId="0" xfId="0" applyFont="1" applyAlignment="1">
      <alignment wrapText="1"/>
    </xf>
    <xf numFmtId="165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5" fontId="18" fillId="0" borderId="12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4" fontId="16" fillId="0" borderId="12" xfId="0" applyNumberFormat="1" applyFon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164" fontId="5" fillId="3" borderId="7" xfId="0" applyNumberFormat="1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</cellXfs>
  <cellStyles count="1">
    <cellStyle name="Normal" xfId="0" builtinId="0"/>
  </cellStyles>
  <dxfs count="8">
    <dxf>
      <fill>
        <patternFill patternType="solid">
          <fgColor rgb="FFFCE5CD"/>
          <bgColor rgb="FFFCE5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CFE2F3"/>
          <bgColor rgb="FFCFE2F3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9T3XlcZ-Fm08PWHQPsYTaDQ7WzSyiblY&amp;usp=drive_copy" TargetMode="External"/><Relationship Id="rId2" Type="http://schemas.openxmlformats.org/officeDocument/2006/relationships/hyperlink" Target="https://drive.google.com/open?id=15Nd2u-NLRiriY6DMdy09VgAk9hG18Jsu&amp;usp=drive_copy" TargetMode="External"/><Relationship Id="rId1" Type="http://schemas.openxmlformats.org/officeDocument/2006/relationships/hyperlink" Target="https://drive.google.com/open?id=1qPO5-3xnBZdTaFk7DLgM98gfFD5weGXV&amp;usp=drive_copy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drive.google.com/open?id=1HJWp15-KfjLGx06mYP6yRy7BPTCGaDAG&amp;usp=drive_copy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maps?q=9.2509128,-74.4287649&amp;z=17&amp;hl=es" TargetMode="External"/><Relationship Id="rId7" Type="http://schemas.openxmlformats.org/officeDocument/2006/relationships/comments" Target="../comments2.xml"/><Relationship Id="rId2" Type="http://schemas.openxmlformats.org/officeDocument/2006/relationships/hyperlink" Target="https://www.google.com/maps?q=9.2236394,-74.4161284&amp;z=17&amp;hl=es" TargetMode="External"/><Relationship Id="rId1" Type="http://schemas.openxmlformats.org/officeDocument/2006/relationships/hyperlink" Target="https://www.google.com/maps/place/9%C2%B033'27.4%22N+74%C2%B052'25.6%22W/@9.5385328,-74.8817784,14.75z/data=!4m4!3m3!8m2!3d9.5576111!4d-74.8737778?hl=es&amp;entry=ttu&amp;g_ep=EgoyMDI1MDUwNS4wIKXMDSoASAFQAw%3D%3D" TargetMode="External"/><Relationship Id="rId6" Type="http://schemas.openxmlformats.org/officeDocument/2006/relationships/vmlDrawing" Target="../drawings/vmlDrawing2.vml"/><Relationship Id="rId5" Type="http://schemas.openxmlformats.org/officeDocument/2006/relationships/hyperlink" Target="https://www.google.com/maps?q=10.536880493164062,-75.3997802734375&amp;z=17&amp;hl=es" TargetMode="External"/><Relationship Id="rId4" Type="http://schemas.openxmlformats.org/officeDocument/2006/relationships/hyperlink" Target="https://www.google.com/maps?q=10.5394716,-75.4221565&amp;z=17&amp;hl=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59"/>
  <sheetViews>
    <sheetView showGridLines="0" tabSelected="1" workbookViewId="0">
      <pane ySplit="3" topLeftCell="A4" activePane="bottomLeft" state="frozen"/>
      <selection pane="bottomLeft"/>
    </sheetView>
  </sheetViews>
  <sheetFormatPr baseColWidth="10" defaultColWidth="12.6328125" defaultRowHeight="15" customHeight="1" x14ac:dyDescent="0.25"/>
  <cols>
    <col min="1" max="1" width="18.26953125" customWidth="1"/>
    <col min="2" max="2" width="18" customWidth="1"/>
    <col min="3" max="3" width="17.26953125" customWidth="1"/>
    <col min="4" max="4" width="9.453125" customWidth="1"/>
    <col min="5" max="5" width="8.26953125" customWidth="1"/>
    <col min="6" max="6" width="19.08984375" customWidth="1"/>
    <col min="7" max="7" width="23.453125" customWidth="1"/>
    <col min="8" max="8" width="18.6328125" customWidth="1"/>
    <col min="9" max="9" width="13.90625" customWidth="1"/>
    <col min="10" max="10" width="21.90625" customWidth="1"/>
    <col min="11" max="11" width="19.7265625" customWidth="1"/>
    <col min="12" max="12" width="8.453125" customWidth="1"/>
    <col min="13" max="13" width="7.36328125" customWidth="1"/>
    <col min="14" max="14" width="16" customWidth="1"/>
    <col min="15" max="15" width="14.6328125" customWidth="1"/>
    <col min="16" max="16" width="10.36328125" customWidth="1"/>
    <col min="17" max="17" width="11.6328125" customWidth="1"/>
    <col min="18" max="18" width="9.90625" customWidth="1"/>
    <col min="19" max="19" width="32.6328125" customWidth="1"/>
    <col min="20" max="20" width="12.90625" customWidth="1"/>
    <col min="21" max="21" width="17.08984375" customWidth="1"/>
    <col min="22" max="23" width="15" customWidth="1"/>
    <col min="24" max="24" width="15.26953125" customWidth="1"/>
    <col min="25" max="25" width="11.08984375" customWidth="1"/>
    <col min="26" max="26" width="11.7265625" customWidth="1"/>
    <col min="27" max="27" width="13" customWidth="1"/>
    <col min="28" max="28" width="59.36328125" customWidth="1"/>
  </cols>
  <sheetData>
    <row r="1" spans="1:28" ht="56.25" customHeight="1" x14ac:dyDescent="0.25">
      <c r="A1" s="1"/>
      <c r="B1" s="2"/>
      <c r="C1" s="3"/>
      <c r="D1" s="4" t="s">
        <v>0</v>
      </c>
      <c r="E1" s="5"/>
      <c r="F1" s="6"/>
      <c r="G1" s="5"/>
      <c r="H1" s="5"/>
      <c r="I1" s="5"/>
      <c r="J1" s="7"/>
      <c r="K1" s="6"/>
      <c r="L1" s="5"/>
      <c r="M1" s="5"/>
      <c r="N1" s="5"/>
      <c r="O1" s="5"/>
      <c r="P1" s="5"/>
      <c r="Q1" s="5"/>
      <c r="R1" s="5"/>
      <c r="S1" s="6"/>
      <c r="T1" s="5"/>
      <c r="U1" s="8"/>
      <c r="V1" s="9"/>
      <c r="W1" s="9"/>
      <c r="X1" s="88" t="s">
        <v>1</v>
      </c>
      <c r="Y1" s="89"/>
      <c r="Z1" s="89"/>
      <c r="AA1" s="90"/>
      <c r="AB1" s="10" t="s">
        <v>2</v>
      </c>
    </row>
    <row r="2" spans="1:28" ht="14.25" customHeight="1" x14ac:dyDescent="0.25">
      <c r="A2" s="11"/>
      <c r="B2" s="12"/>
      <c r="C2" s="13"/>
      <c r="D2" s="91" t="s">
        <v>3</v>
      </c>
      <c r="E2" s="92"/>
      <c r="F2" s="92"/>
      <c r="G2" s="92"/>
      <c r="H2" s="92"/>
      <c r="I2" s="93"/>
      <c r="J2" s="94" t="s">
        <v>4</v>
      </c>
      <c r="K2" s="92"/>
      <c r="L2" s="92"/>
      <c r="M2" s="92"/>
      <c r="N2" s="92"/>
      <c r="O2" s="92"/>
      <c r="P2" s="92"/>
      <c r="Q2" s="14">
        <v>45981</v>
      </c>
      <c r="R2" s="15"/>
      <c r="S2" s="95" t="s">
        <v>5</v>
      </c>
      <c r="T2" s="92"/>
      <c r="U2" s="92"/>
      <c r="V2" s="16"/>
      <c r="W2" s="17"/>
      <c r="X2" s="96" t="s">
        <v>6</v>
      </c>
      <c r="Y2" s="97"/>
      <c r="Z2" s="97"/>
      <c r="AA2" s="98"/>
      <c r="AB2" s="18" t="s">
        <v>7</v>
      </c>
    </row>
    <row r="3" spans="1:28" ht="52" x14ac:dyDescent="0.25">
      <c r="A3" s="19" t="s">
        <v>8</v>
      </c>
      <c r="B3" s="20" t="s">
        <v>9</v>
      </c>
      <c r="C3" s="21" t="s">
        <v>10</v>
      </c>
      <c r="D3" s="22" t="s">
        <v>11</v>
      </c>
      <c r="E3" s="23" t="s">
        <v>12</v>
      </c>
      <c r="F3" s="24" t="s">
        <v>13</v>
      </c>
      <c r="G3" s="25" t="s">
        <v>14</v>
      </c>
      <c r="H3" s="24" t="s">
        <v>15</v>
      </c>
      <c r="I3" s="26" t="s">
        <v>16</v>
      </c>
      <c r="J3" s="27" t="s">
        <v>17</v>
      </c>
      <c r="K3" s="28" t="s">
        <v>18</v>
      </c>
      <c r="L3" s="29" t="s">
        <v>19</v>
      </c>
      <c r="M3" s="29" t="s">
        <v>20</v>
      </c>
      <c r="N3" s="30" t="s">
        <v>21</v>
      </c>
      <c r="O3" s="31" t="s">
        <v>22</v>
      </c>
      <c r="P3" s="32" t="s">
        <v>23</v>
      </c>
      <c r="Q3" s="32" t="s">
        <v>24</v>
      </c>
      <c r="R3" s="33" t="s">
        <v>25</v>
      </c>
      <c r="S3" s="34" t="s">
        <v>26</v>
      </c>
      <c r="T3" s="35" t="s">
        <v>27</v>
      </c>
      <c r="U3" s="34" t="s">
        <v>28</v>
      </c>
      <c r="V3" s="36" t="s">
        <v>29</v>
      </c>
      <c r="W3" s="36" t="s">
        <v>30</v>
      </c>
      <c r="X3" s="37" t="s">
        <v>31</v>
      </c>
      <c r="Y3" s="37" t="s">
        <v>32</v>
      </c>
      <c r="Z3" s="38" t="s">
        <v>33</v>
      </c>
      <c r="AA3" s="39" t="s">
        <v>34</v>
      </c>
      <c r="AB3" s="40" t="s">
        <v>35</v>
      </c>
    </row>
    <row r="4" spans="1:28" ht="37.5" x14ac:dyDescent="0.25">
      <c r="A4" s="41" t="s">
        <v>36</v>
      </c>
      <c r="B4" s="41" t="s">
        <v>37</v>
      </c>
      <c r="C4" s="41"/>
      <c r="D4" s="42">
        <v>45737</v>
      </c>
      <c r="E4" s="41" t="s">
        <v>38</v>
      </c>
      <c r="F4" s="41" t="s">
        <v>39</v>
      </c>
      <c r="G4" s="41" t="s">
        <v>40</v>
      </c>
      <c r="H4" s="43" t="s">
        <v>40</v>
      </c>
      <c r="I4" s="43" t="s">
        <v>41</v>
      </c>
      <c r="J4" s="44"/>
      <c r="K4" s="43" t="s">
        <v>42</v>
      </c>
      <c r="L4" s="41" t="s">
        <v>38</v>
      </c>
      <c r="M4" s="41">
        <v>107</v>
      </c>
      <c r="N4" s="41" t="s">
        <v>43</v>
      </c>
      <c r="O4" s="45">
        <v>420000</v>
      </c>
      <c r="P4" s="46">
        <v>45737</v>
      </c>
      <c r="Q4" s="47">
        <v>45743</v>
      </c>
      <c r="R4" s="48" t="s">
        <v>44</v>
      </c>
      <c r="S4" s="48" t="s">
        <v>45</v>
      </c>
      <c r="T4" s="41" t="s">
        <v>46</v>
      </c>
      <c r="U4" s="41" t="s">
        <v>38</v>
      </c>
      <c r="V4" s="49"/>
      <c r="W4" s="49">
        <v>45752</v>
      </c>
      <c r="X4" s="50" t="s">
        <v>38</v>
      </c>
      <c r="Y4" s="50" t="s">
        <v>38</v>
      </c>
      <c r="Z4" s="50" t="s">
        <v>38</v>
      </c>
      <c r="AA4" s="51"/>
      <c r="AB4" s="51"/>
    </row>
    <row r="5" spans="1:28" ht="62.5" x14ac:dyDescent="0.25">
      <c r="A5" s="41" t="s">
        <v>47</v>
      </c>
      <c r="B5" s="41" t="s">
        <v>37</v>
      </c>
      <c r="C5" s="41"/>
      <c r="D5" s="42">
        <v>45784</v>
      </c>
      <c r="E5" s="41" t="s">
        <v>38</v>
      </c>
      <c r="F5" s="41" t="s">
        <v>48</v>
      </c>
      <c r="G5" s="41" t="s">
        <v>49</v>
      </c>
      <c r="H5" s="43" t="s">
        <v>50</v>
      </c>
      <c r="I5" s="43" t="s">
        <v>51</v>
      </c>
      <c r="J5" s="44" t="s">
        <v>52</v>
      </c>
      <c r="K5" s="43" t="s">
        <v>53</v>
      </c>
      <c r="L5" s="41">
        <v>371</v>
      </c>
      <c r="M5" s="41" t="s">
        <v>38</v>
      </c>
      <c r="N5" s="41" t="s">
        <v>43</v>
      </c>
      <c r="O5" s="45">
        <v>11771262</v>
      </c>
      <c r="P5" s="46">
        <v>45784</v>
      </c>
      <c r="Q5" s="47"/>
      <c r="R5" s="48"/>
      <c r="S5" s="48"/>
      <c r="T5" s="41" t="s">
        <v>54</v>
      </c>
      <c r="U5" s="52"/>
      <c r="V5" s="49"/>
      <c r="W5" s="49"/>
      <c r="X5" s="51"/>
      <c r="Y5" s="51"/>
      <c r="Z5" s="51"/>
      <c r="AA5" s="51"/>
      <c r="AB5" s="51"/>
    </row>
    <row r="6" spans="1:28" ht="409.5" x14ac:dyDescent="0.25">
      <c r="A6" s="41" t="s">
        <v>55</v>
      </c>
      <c r="B6" s="41" t="s">
        <v>37</v>
      </c>
      <c r="C6" s="41"/>
      <c r="D6" s="42">
        <v>45390</v>
      </c>
      <c r="E6" s="41" t="s">
        <v>38</v>
      </c>
      <c r="F6" s="41" t="s">
        <v>56</v>
      </c>
      <c r="G6" s="41" t="s">
        <v>49</v>
      </c>
      <c r="H6" s="43" t="s">
        <v>57</v>
      </c>
      <c r="I6" s="44" t="s">
        <v>58</v>
      </c>
      <c r="J6" s="44" t="s">
        <v>59</v>
      </c>
      <c r="K6" s="43" t="s">
        <v>60</v>
      </c>
      <c r="L6" s="41">
        <v>330</v>
      </c>
      <c r="M6" s="41" t="s">
        <v>38</v>
      </c>
      <c r="N6" s="41" t="s">
        <v>43</v>
      </c>
      <c r="O6" s="45">
        <v>83490400</v>
      </c>
      <c r="P6" s="46">
        <v>45755</v>
      </c>
      <c r="Q6" s="49"/>
      <c r="R6" s="48" t="s">
        <v>44</v>
      </c>
      <c r="S6" s="48" t="s">
        <v>61</v>
      </c>
      <c r="T6" s="41" t="s">
        <v>62</v>
      </c>
      <c r="U6" s="41">
        <v>10000096</v>
      </c>
      <c r="V6" s="48"/>
      <c r="W6" s="49"/>
      <c r="X6" s="50" t="s">
        <v>38</v>
      </c>
      <c r="Y6" s="50" t="s">
        <v>38</v>
      </c>
      <c r="Z6" s="50" t="s">
        <v>38</v>
      </c>
      <c r="AA6" s="51"/>
      <c r="AB6" s="51"/>
    </row>
    <row r="7" spans="1:28" ht="187.5" x14ac:dyDescent="0.25">
      <c r="A7" s="41" t="s">
        <v>55</v>
      </c>
      <c r="B7" s="41" t="s">
        <v>37</v>
      </c>
      <c r="C7" s="41"/>
      <c r="D7" s="42">
        <v>45530</v>
      </c>
      <c r="E7" s="41" t="s">
        <v>38</v>
      </c>
      <c r="F7" s="41" t="s">
        <v>56</v>
      </c>
      <c r="G7" s="41" t="s">
        <v>63</v>
      </c>
      <c r="H7" s="41" t="s">
        <v>64</v>
      </c>
      <c r="I7" s="44" t="s">
        <v>65</v>
      </c>
      <c r="J7" s="44" t="s">
        <v>66</v>
      </c>
      <c r="K7" s="43" t="s">
        <v>67</v>
      </c>
      <c r="L7" s="41">
        <v>215</v>
      </c>
      <c r="M7" s="41" t="s">
        <v>38</v>
      </c>
      <c r="N7" s="41" t="s">
        <v>43</v>
      </c>
      <c r="O7" s="45">
        <v>11910948</v>
      </c>
      <c r="P7" s="46">
        <v>45530</v>
      </c>
      <c r="Q7" s="49"/>
      <c r="R7" s="48" t="s">
        <v>44</v>
      </c>
      <c r="S7" s="48" t="s">
        <v>68</v>
      </c>
      <c r="T7" s="41" t="s">
        <v>46</v>
      </c>
      <c r="U7" s="41">
        <v>10000058</v>
      </c>
      <c r="V7" s="49"/>
      <c r="W7" s="49"/>
      <c r="X7" s="50" t="s">
        <v>38</v>
      </c>
      <c r="Y7" s="50" t="s">
        <v>38</v>
      </c>
      <c r="Z7" s="50" t="s">
        <v>38</v>
      </c>
      <c r="AA7" s="51"/>
      <c r="AB7" s="51"/>
    </row>
    <row r="8" spans="1:28" ht="100" x14ac:dyDescent="0.25">
      <c r="A8" s="41" t="s">
        <v>36</v>
      </c>
      <c r="B8" s="41" t="s">
        <v>37</v>
      </c>
      <c r="C8" s="41"/>
      <c r="D8" s="42">
        <v>45548</v>
      </c>
      <c r="E8" s="41">
        <v>62</v>
      </c>
      <c r="F8" s="41" t="s">
        <v>69</v>
      </c>
      <c r="G8" s="41" t="s">
        <v>70</v>
      </c>
      <c r="H8" s="43" t="s">
        <v>71</v>
      </c>
      <c r="I8" s="44" t="s">
        <v>72</v>
      </c>
      <c r="J8" s="44" t="s">
        <v>73</v>
      </c>
      <c r="K8" s="43" t="s">
        <v>74</v>
      </c>
      <c r="L8" s="41">
        <v>507</v>
      </c>
      <c r="M8" s="41" t="s">
        <v>38</v>
      </c>
      <c r="N8" s="41" t="s">
        <v>43</v>
      </c>
      <c r="O8" s="45">
        <v>5450200</v>
      </c>
      <c r="P8" s="46">
        <v>45608</v>
      </c>
      <c r="Q8" s="49"/>
      <c r="R8" s="48" t="s">
        <v>44</v>
      </c>
      <c r="S8" s="48" t="s">
        <v>75</v>
      </c>
      <c r="T8" s="53" t="s">
        <v>54</v>
      </c>
      <c r="U8" s="54"/>
      <c r="V8" s="49"/>
      <c r="W8" s="49"/>
      <c r="X8" s="50" t="s">
        <v>38</v>
      </c>
      <c r="Y8" s="50" t="s">
        <v>38</v>
      </c>
      <c r="Z8" s="50" t="s">
        <v>38</v>
      </c>
      <c r="AA8" s="51"/>
      <c r="AB8" s="51"/>
    </row>
    <row r="9" spans="1:28" ht="75" x14ac:dyDescent="0.25">
      <c r="A9" s="41" t="s">
        <v>36</v>
      </c>
      <c r="B9" s="41" t="s">
        <v>37</v>
      </c>
      <c r="C9" s="41"/>
      <c r="D9" s="42">
        <v>45583</v>
      </c>
      <c r="E9" s="41" t="s">
        <v>38</v>
      </c>
      <c r="F9" s="41" t="s">
        <v>48</v>
      </c>
      <c r="G9" s="41" t="s">
        <v>76</v>
      </c>
      <c r="H9" s="43" t="s">
        <v>77</v>
      </c>
      <c r="I9" s="44" t="s">
        <v>78</v>
      </c>
      <c r="J9" s="44" t="s">
        <v>79</v>
      </c>
      <c r="K9" s="43" t="s">
        <v>80</v>
      </c>
      <c r="L9" s="41">
        <v>164</v>
      </c>
      <c r="M9" s="41">
        <v>118</v>
      </c>
      <c r="N9" s="41" t="s">
        <v>43</v>
      </c>
      <c r="O9" s="45">
        <f>19732574+2434775</f>
        <v>22167349</v>
      </c>
      <c r="P9" s="46">
        <v>45594</v>
      </c>
      <c r="Q9" s="49"/>
      <c r="R9" s="48" t="s">
        <v>44</v>
      </c>
      <c r="S9" s="48" t="s">
        <v>81</v>
      </c>
      <c r="T9" s="53" t="s">
        <v>54</v>
      </c>
      <c r="U9" s="54"/>
      <c r="V9" s="49"/>
      <c r="W9" s="49"/>
      <c r="X9" s="50" t="s">
        <v>38</v>
      </c>
      <c r="Y9" s="50" t="s">
        <v>38</v>
      </c>
      <c r="Z9" s="50" t="s">
        <v>38</v>
      </c>
      <c r="AA9" s="51"/>
      <c r="AB9" s="51"/>
    </row>
    <row r="10" spans="1:28" ht="337.5" x14ac:dyDescent="0.25">
      <c r="A10" s="41" t="s">
        <v>36</v>
      </c>
      <c r="B10" s="41" t="s">
        <v>37</v>
      </c>
      <c r="C10" s="41"/>
      <c r="D10" s="42">
        <v>45586</v>
      </c>
      <c r="E10" s="41" t="s">
        <v>38</v>
      </c>
      <c r="F10" s="41" t="s">
        <v>82</v>
      </c>
      <c r="G10" s="41" t="s">
        <v>40</v>
      </c>
      <c r="H10" s="43" t="s">
        <v>40</v>
      </c>
      <c r="I10" s="44" t="s">
        <v>83</v>
      </c>
      <c r="J10" s="44" t="s">
        <v>84</v>
      </c>
      <c r="K10" s="43" t="s">
        <v>85</v>
      </c>
      <c r="L10" s="41">
        <v>230</v>
      </c>
      <c r="M10" s="41" t="s">
        <v>38</v>
      </c>
      <c r="N10" s="41" t="s">
        <v>43</v>
      </c>
      <c r="O10" s="45">
        <v>9631860</v>
      </c>
      <c r="P10" s="46">
        <v>45608</v>
      </c>
      <c r="Q10" s="49"/>
      <c r="R10" s="48" t="s">
        <v>44</v>
      </c>
      <c r="S10" s="48" t="s">
        <v>86</v>
      </c>
      <c r="T10" s="53" t="s">
        <v>46</v>
      </c>
      <c r="U10" s="53" t="s">
        <v>87</v>
      </c>
      <c r="V10" s="49"/>
      <c r="W10" s="49"/>
      <c r="X10" s="50" t="s">
        <v>38</v>
      </c>
      <c r="Y10" s="50" t="s">
        <v>38</v>
      </c>
      <c r="Z10" s="50" t="s">
        <v>38</v>
      </c>
      <c r="AA10" s="51"/>
      <c r="AB10" s="51"/>
    </row>
    <row r="11" spans="1:28" ht="62.5" x14ac:dyDescent="0.25">
      <c r="A11" s="41" t="s">
        <v>36</v>
      </c>
      <c r="B11" s="41" t="s">
        <v>88</v>
      </c>
      <c r="C11" s="41"/>
      <c r="D11" s="42">
        <v>45586</v>
      </c>
      <c r="E11" s="41" t="s">
        <v>38</v>
      </c>
      <c r="F11" s="41" t="s">
        <v>89</v>
      </c>
      <c r="G11" s="41" t="s">
        <v>90</v>
      </c>
      <c r="H11" s="43" t="s">
        <v>91</v>
      </c>
      <c r="I11" s="44" t="s">
        <v>92</v>
      </c>
      <c r="J11" s="44" t="s">
        <v>93</v>
      </c>
      <c r="K11" s="43" t="s">
        <v>94</v>
      </c>
      <c r="L11" s="41"/>
      <c r="M11" s="41"/>
      <c r="N11" s="41"/>
      <c r="O11" s="45"/>
      <c r="P11" s="46"/>
      <c r="Q11" s="49"/>
      <c r="R11" s="48" t="s">
        <v>44</v>
      </c>
      <c r="S11" s="48"/>
      <c r="T11" s="53"/>
      <c r="U11" s="54"/>
      <c r="V11" s="49"/>
      <c r="W11" s="49"/>
      <c r="X11" s="50" t="s">
        <v>38</v>
      </c>
      <c r="Y11" s="50" t="s">
        <v>38</v>
      </c>
      <c r="Z11" s="50" t="s">
        <v>38</v>
      </c>
      <c r="AA11" s="51"/>
      <c r="AB11" s="51"/>
    </row>
    <row r="12" spans="1:28" ht="25" x14ac:dyDescent="0.25">
      <c r="A12" s="41" t="s">
        <v>36</v>
      </c>
      <c r="B12" s="41" t="s">
        <v>37</v>
      </c>
      <c r="C12" s="41"/>
      <c r="D12" s="42">
        <v>45588</v>
      </c>
      <c r="E12" s="41" t="s">
        <v>38</v>
      </c>
      <c r="F12" s="41" t="s">
        <v>82</v>
      </c>
      <c r="G12" s="41" t="s">
        <v>40</v>
      </c>
      <c r="H12" s="43" t="s">
        <v>40</v>
      </c>
      <c r="I12" s="44" t="s">
        <v>95</v>
      </c>
      <c r="J12" s="44" t="s">
        <v>96</v>
      </c>
      <c r="K12" s="43" t="s">
        <v>97</v>
      </c>
      <c r="L12" s="41">
        <v>10</v>
      </c>
      <c r="M12" s="41" t="s">
        <v>38</v>
      </c>
      <c r="N12" s="41" t="s">
        <v>98</v>
      </c>
      <c r="O12" s="45">
        <v>23274000</v>
      </c>
      <c r="P12" s="46">
        <v>45591</v>
      </c>
      <c r="Q12" s="49"/>
      <c r="R12" s="48" t="s">
        <v>44</v>
      </c>
      <c r="S12" s="48" t="s">
        <v>99</v>
      </c>
      <c r="T12" s="53" t="s">
        <v>46</v>
      </c>
      <c r="U12" s="54"/>
      <c r="V12" s="49"/>
      <c r="W12" s="49"/>
      <c r="X12" s="50" t="s">
        <v>38</v>
      </c>
      <c r="Y12" s="50" t="s">
        <v>38</v>
      </c>
      <c r="Z12" s="50" t="s">
        <v>38</v>
      </c>
      <c r="AA12" s="51"/>
      <c r="AB12" s="51"/>
    </row>
    <row r="13" spans="1:28" ht="25" x14ac:dyDescent="0.25">
      <c r="A13" s="41" t="s">
        <v>36</v>
      </c>
      <c r="B13" s="41" t="s">
        <v>37</v>
      </c>
      <c r="C13" s="41"/>
      <c r="D13" s="42">
        <v>45589</v>
      </c>
      <c r="E13" s="41" t="s">
        <v>38</v>
      </c>
      <c r="F13" s="41" t="s">
        <v>100</v>
      </c>
      <c r="G13" s="41" t="s">
        <v>40</v>
      </c>
      <c r="H13" s="43" t="s">
        <v>40</v>
      </c>
      <c r="I13" s="44" t="s">
        <v>101</v>
      </c>
      <c r="J13" s="44" t="s">
        <v>102</v>
      </c>
      <c r="K13" s="43" t="s">
        <v>103</v>
      </c>
      <c r="L13" s="41">
        <v>9</v>
      </c>
      <c r="M13" s="41" t="s">
        <v>38</v>
      </c>
      <c r="N13" s="41" t="s">
        <v>43</v>
      </c>
      <c r="O13" s="45">
        <v>17232519</v>
      </c>
      <c r="P13" s="46">
        <v>45588</v>
      </c>
      <c r="Q13" s="49"/>
      <c r="R13" s="48" t="s">
        <v>44</v>
      </c>
      <c r="S13" s="48" t="s">
        <v>104</v>
      </c>
      <c r="T13" s="53" t="s">
        <v>46</v>
      </c>
      <c r="U13" s="53" t="s">
        <v>38</v>
      </c>
      <c r="V13" s="49"/>
      <c r="W13" s="49">
        <v>45588</v>
      </c>
      <c r="X13" s="50" t="s">
        <v>38</v>
      </c>
      <c r="Y13" s="50" t="s">
        <v>38</v>
      </c>
      <c r="Z13" s="50" t="s">
        <v>38</v>
      </c>
      <c r="AA13" s="51"/>
      <c r="AB13" s="51"/>
    </row>
    <row r="14" spans="1:28" ht="87.5" x14ac:dyDescent="0.25">
      <c r="A14" s="41" t="s">
        <v>36</v>
      </c>
      <c r="B14" s="41" t="s">
        <v>37</v>
      </c>
      <c r="C14" s="41"/>
      <c r="D14" s="42">
        <v>45589</v>
      </c>
      <c r="E14" s="41" t="s">
        <v>38</v>
      </c>
      <c r="F14" s="41" t="s">
        <v>105</v>
      </c>
      <c r="G14" s="41" t="s">
        <v>106</v>
      </c>
      <c r="H14" s="41" t="s">
        <v>107</v>
      </c>
      <c r="I14" s="44" t="s">
        <v>108</v>
      </c>
      <c r="J14" s="44" t="s">
        <v>109</v>
      </c>
      <c r="K14" s="43" t="s">
        <v>110</v>
      </c>
      <c r="L14" s="41">
        <v>78</v>
      </c>
      <c r="M14" s="41" t="s">
        <v>38</v>
      </c>
      <c r="N14" s="41" t="s">
        <v>98</v>
      </c>
      <c r="O14" s="45">
        <v>83300</v>
      </c>
      <c r="P14" s="46">
        <v>45597</v>
      </c>
      <c r="Q14" s="49"/>
      <c r="R14" s="48" t="s">
        <v>44</v>
      </c>
      <c r="S14" s="48" t="s">
        <v>111</v>
      </c>
      <c r="T14" s="53" t="s">
        <v>46</v>
      </c>
      <c r="U14" s="54" t="s">
        <v>38</v>
      </c>
      <c r="V14" s="49"/>
      <c r="W14" s="49"/>
      <c r="X14" s="50" t="s">
        <v>38</v>
      </c>
      <c r="Y14" s="50" t="s">
        <v>38</v>
      </c>
      <c r="Z14" s="50" t="s">
        <v>38</v>
      </c>
      <c r="AA14" s="51"/>
      <c r="AB14" s="51"/>
    </row>
    <row r="15" spans="1:28" ht="87.5" x14ac:dyDescent="0.25">
      <c r="A15" s="41" t="s">
        <v>36</v>
      </c>
      <c r="B15" s="41" t="s">
        <v>37</v>
      </c>
      <c r="C15" s="41"/>
      <c r="D15" s="42">
        <v>45589</v>
      </c>
      <c r="E15" s="41" t="s">
        <v>38</v>
      </c>
      <c r="F15" s="41" t="s">
        <v>105</v>
      </c>
      <c r="G15" s="41" t="s">
        <v>112</v>
      </c>
      <c r="H15" s="41" t="s">
        <v>113</v>
      </c>
      <c r="I15" s="44" t="s">
        <v>108</v>
      </c>
      <c r="J15" s="44" t="s">
        <v>109</v>
      </c>
      <c r="K15" s="43" t="s">
        <v>110</v>
      </c>
      <c r="L15" s="41">
        <v>18</v>
      </c>
      <c r="M15" s="41" t="s">
        <v>38</v>
      </c>
      <c r="N15" s="41" t="s">
        <v>98</v>
      </c>
      <c r="O15" s="45">
        <v>83300</v>
      </c>
      <c r="P15" s="46">
        <v>45597</v>
      </c>
      <c r="Q15" s="49"/>
      <c r="R15" s="48" t="s">
        <v>44</v>
      </c>
      <c r="S15" s="48" t="s">
        <v>111</v>
      </c>
      <c r="T15" s="53" t="s">
        <v>46</v>
      </c>
      <c r="U15" s="54" t="s">
        <v>38</v>
      </c>
      <c r="V15" s="49"/>
      <c r="W15" s="49"/>
      <c r="X15" s="50" t="s">
        <v>38</v>
      </c>
      <c r="Y15" s="50" t="s">
        <v>38</v>
      </c>
      <c r="Z15" s="50" t="s">
        <v>38</v>
      </c>
      <c r="AA15" s="51"/>
      <c r="AB15" s="51"/>
    </row>
    <row r="16" spans="1:28" ht="87.5" x14ac:dyDescent="0.25">
      <c r="A16" s="41" t="s">
        <v>36</v>
      </c>
      <c r="B16" s="41" t="s">
        <v>37</v>
      </c>
      <c r="C16" s="41"/>
      <c r="D16" s="42">
        <v>45590</v>
      </c>
      <c r="E16" s="41">
        <v>3</v>
      </c>
      <c r="F16" s="41" t="s">
        <v>100</v>
      </c>
      <c r="G16" s="41" t="s">
        <v>40</v>
      </c>
      <c r="H16" s="41" t="s">
        <v>40</v>
      </c>
      <c r="I16" s="44" t="s">
        <v>114</v>
      </c>
      <c r="J16" s="44" t="s">
        <v>115</v>
      </c>
      <c r="K16" s="43" t="s">
        <v>116</v>
      </c>
      <c r="L16" s="41">
        <v>14</v>
      </c>
      <c r="M16" s="41" t="s">
        <v>38</v>
      </c>
      <c r="N16" s="41" t="s">
        <v>43</v>
      </c>
      <c r="O16" s="45">
        <v>10744500</v>
      </c>
      <c r="P16" s="46">
        <v>45593</v>
      </c>
      <c r="Q16" s="49"/>
      <c r="R16" s="48" t="s">
        <v>44</v>
      </c>
      <c r="S16" s="48" t="s">
        <v>117</v>
      </c>
      <c r="T16" s="53" t="s">
        <v>54</v>
      </c>
      <c r="U16" s="54"/>
      <c r="V16" s="49"/>
      <c r="W16" s="49"/>
      <c r="X16" s="50" t="s">
        <v>38</v>
      </c>
      <c r="Y16" s="50" t="s">
        <v>38</v>
      </c>
      <c r="Z16" s="50" t="s">
        <v>38</v>
      </c>
      <c r="AA16" s="51"/>
      <c r="AB16" s="51"/>
    </row>
    <row r="17" spans="1:28" ht="25" x14ac:dyDescent="0.25">
      <c r="A17" s="41" t="s">
        <v>36</v>
      </c>
      <c r="B17" s="41" t="s">
        <v>37</v>
      </c>
      <c r="C17" s="41"/>
      <c r="D17" s="42">
        <v>45591</v>
      </c>
      <c r="E17" s="41" t="s">
        <v>38</v>
      </c>
      <c r="F17" s="41" t="s">
        <v>100</v>
      </c>
      <c r="G17" s="41" t="s">
        <v>40</v>
      </c>
      <c r="H17" s="43" t="s">
        <v>40</v>
      </c>
      <c r="I17" s="44" t="s">
        <v>118</v>
      </c>
      <c r="J17" s="44" t="s">
        <v>119</v>
      </c>
      <c r="K17" s="43" t="s">
        <v>120</v>
      </c>
      <c r="L17" s="41" t="s">
        <v>38</v>
      </c>
      <c r="M17" s="41">
        <v>5</v>
      </c>
      <c r="N17" s="41" t="s">
        <v>43</v>
      </c>
      <c r="O17" s="45">
        <v>600000</v>
      </c>
      <c r="P17" s="46">
        <v>45593</v>
      </c>
      <c r="Q17" s="49"/>
      <c r="R17" s="48" t="s">
        <v>44</v>
      </c>
      <c r="S17" s="48" t="s">
        <v>121</v>
      </c>
      <c r="T17" s="53" t="s">
        <v>38</v>
      </c>
      <c r="U17" s="54"/>
      <c r="V17" s="49"/>
      <c r="W17" s="49"/>
      <c r="X17" s="50" t="s">
        <v>38</v>
      </c>
      <c r="Y17" s="50" t="s">
        <v>38</v>
      </c>
      <c r="Z17" s="50" t="s">
        <v>38</v>
      </c>
      <c r="AA17" s="51"/>
      <c r="AB17" s="51"/>
    </row>
    <row r="18" spans="1:28" ht="125" x14ac:dyDescent="0.25">
      <c r="A18" s="41" t="s">
        <v>36</v>
      </c>
      <c r="B18" s="41" t="s">
        <v>122</v>
      </c>
      <c r="C18" s="41"/>
      <c r="D18" s="42">
        <v>45591</v>
      </c>
      <c r="E18" s="41" t="s">
        <v>38</v>
      </c>
      <c r="F18" s="41" t="s">
        <v>123</v>
      </c>
      <c r="G18" s="41" t="s">
        <v>106</v>
      </c>
      <c r="H18" s="43" t="s">
        <v>107</v>
      </c>
      <c r="I18" s="44" t="s">
        <v>124</v>
      </c>
      <c r="J18" s="44" t="s">
        <v>125</v>
      </c>
      <c r="K18" s="43" t="s">
        <v>126</v>
      </c>
      <c r="L18" s="41" t="s">
        <v>38</v>
      </c>
      <c r="M18" s="41" t="s">
        <v>127</v>
      </c>
      <c r="N18" s="41" t="s">
        <v>43</v>
      </c>
      <c r="O18" s="45">
        <v>3000000</v>
      </c>
      <c r="P18" s="46">
        <v>45594</v>
      </c>
      <c r="Q18" s="49"/>
      <c r="R18" s="48" t="s">
        <v>44</v>
      </c>
      <c r="S18" s="48" t="s">
        <v>128</v>
      </c>
      <c r="T18" s="53" t="s">
        <v>38</v>
      </c>
      <c r="U18" s="54"/>
      <c r="V18" s="49"/>
      <c r="W18" s="49"/>
      <c r="X18" s="50" t="s">
        <v>38</v>
      </c>
      <c r="Y18" s="50" t="s">
        <v>38</v>
      </c>
      <c r="Z18" s="50" t="s">
        <v>38</v>
      </c>
      <c r="AA18" s="51"/>
      <c r="AB18" s="51"/>
    </row>
    <row r="19" spans="1:28" ht="112.5" x14ac:dyDescent="0.25">
      <c r="A19" s="41" t="s">
        <v>36</v>
      </c>
      <c r="B19" s="41" t="s">
        <v>37</v>
      </c>
      <c r="C19" s="41"/>
      <c r="D19" s="42">
        <v>45591</v>
      </c>
      <c r="E19" s="41" t="s">
        <v>38</v>
      </c>
      <c r="F19" s="41" t="s">
        <v>123</v>
      </c>
      <c r="G19" s="41" t="s">
        <v>106</v>
      </c>
      <c r="H19" s="43" t="s">
        <v>107</v>
      </c>
      <c r="I19" s="44" t="s">
        <v>129</v>
      </c>
      <c r="J19" s="44" t="s">
        <v>130</v>
      </c>
      <c r="K19" s="43" t="s">
        <v>38</v>
      </c>
      <c r="L19" s="41" t="s">
        <v>38</v>
      </c>
      <c r="M19" s="41" t="s">
        <v>38</v>
      </c>
      <c r="N19" s="41" t="s">
        <v>38</v>
      </c>
      <c r="O19" s="45">
        <v>0</v>
      </c>
      <c r="P19" s="46" t="s">
        <v>38</v>
      </c>
      <c r="Q19" s="49"/>
      <c r="R19" s="48" t="s">
        <v>44</v>
      </c>
      <c r="S19" s="48" t="s">
        <v>131</v>
      </c>
      <c r="T19" s="53" t="s">
        <v>38</v>
      </c>
      <c r="U19" s="54"/>
      <c r="V19" s="49"/>
      <c r="W19" s="49"/>
      <c r="X19" s="50" t="s">
        <v>38</v>
      </c>
      <c r="Y19" s="50" t="s">
        <v>38</v>
      </c>
      <c r="Z19" s="50" t="s">
        <v>38</v>
      </c>
      <c r="AA19" s="51"/>
      <c r="AB19" s="51"/>
    </row>
    <row r="20" spans="1:28" ht="162.5" x14ac:dyDescent="0.25">
      <c r="A20" s="41" t="s">
        <v>36</v>
      </c>
      <c r="B20" s="41" t="s">
        <v>37</v>
      </c>
      <c r="C20" s="41"/>
      <c r="D20" s="42">
        <v>45593</v>
      </c>
      <c r="E20" s="41" t="s">
        <v>38</v>
      </c>
      <c r="F20" s="41" t="s">
        <v>100</v>
      </c>
      <c r="G20" s="41" t="s">
        <v>40</v>
      </c>
      <c r="H20" s="41" t="s">
        <v>40</v>
      </c>
      <c r="I20" s="44" t="s">
        <v>132</v>
      </c>
      <c r="J20" s="44" t="s">
        <v>133</v>
      </c>
      <c r="K20" s="43" t="s">
        <v>134</v>
      </c>
      <c r="L20" s="41">
        <v>16</v>
      </c>
      <c r="M20" s="41">
        <v>6</v>
      </c>
      <c r="N20" s="41" t="s">
        <v>43</v>
      </c>
      <c r="O20" s="45">
        <v>6021400</v>
      </c>
      <c r="P20" s="46">
        <v>45594</v>
      </c>
      <c r="Q20" s="49"/>
      <c r="R20" s="48" t="s">
        <v>44</v>
      </c>
      <c r="S20" s="48" t="s">
        <v>135</v>
      </c>
      <c r="T20" s="53" t="s">
        <v>54</v>
      </c>
      <c r="U20" s="54"/>
      <c r="V20" s="49"/>
      <c r="W20" s="49"/>
      <c r="X20" s="50" t="s">
        <v>38</v>
      </c>
      <c r="Y20" s="50" t="s">
        <v>38</v>
      </c>
      <c r="Z20" s="50" t="s">
        <v>38</v>
      </c>
      <c r="AA20" s="51"/>
      <c r="AB20" s="51"/>
    </row>
    <row r="21" spans="1:28" ht="200" x14ac:dyDescent="0.25">
      <c r="A21" s="41" t="s">
        <v>36</v>
      </c>
      <c r="B21" s="41" t="s">
        <v>88</v>
      </c>
      <c r="C21" s="41"/>
      <c r="D21" s="42">
        <v>45593</v>
      </c>
      <c r="E21" s="41" t="s">
        <v>38</v>
      </c>
      <c r="F21" s="41" t="s">
        <v>136</v>
      </c>
      <c r="G21" s="41" t="s">
        <v>70</v>
      </c>
      <c r="H21" s="43" t="s">
        <v>71</v>
      </c>
      <c r="I21" s="44" t="s">
        <v>137</v>
      </c>
      <c r="J21" s="44" t="s">
        <v>138</v>
      </c>
      <c r="K21" s="43" t="s">
        <v>85</v>
      </c>
      <c r="L21" s="41">
        <v>471</v>
      </c>
      <c r="M21" s="41" t="s">
        <v>38</v>
      </c>
      <c r="N21" s="41" t="s">
        <v>43</v>
      </c>
      <c r="O21" s="45">
        <v>23754780</v>
      </c>
      <c r="P21" s="46">
        <v>45408</v>
      </c>
      <c r="Q21" s="49"/>
      <c r="R21" s="48" t="s">
        <v>44</v>
      </c>
      <c r="S21" s="48" t="s">
        <v>139</v>
      </c>
      <c r="T21" s="53" t="s">
        <v>46</v>
      </c>
      <c r="U21" s="54"/>
      <c r="V21" s="49"/>
      <c r="W21" s="49"/>
      <c r="X21" s="50" t="s">
        <v>38</v>
      </c>
      <c r="Y21" s="50" t="s">
        <v>38</v>
      </c>
      <c r="Z21" s="50" t="s">
        <v>38</v>
      </c>
      <c r="AA21" s="51"/>
      <c r="AB21" s="51"/>
    </row>
    <row r="22" spans="1:28" ht="50" x14ac:dyDescent="0.25">
      <c r="A22" s="41" t="s">
        <v>36</v>
      </c>
      <c r="B22" s="41" t="s">
        <v>37</v>
      </c>
      <c r="C22" s="41"/>
      <c r="D22" s="42">
        <v>45593</v>
      </c>
      <c r="E22" s="41" t="s">
        <v>38</v>
      </c>
      <c r="F22" s="41" t="s">
        <v>140</v>
      </c>
      <c r="G22" s="41" t="s">
        <v>40</v>
      </c>
      <c r="H22" s="43" t="s">
        <v>40</v>
      </c>
      <c r="I22" s="44" t="s">
        <v>141</v>
      </c>
      <c r="J22" s="44" t="s">
        <v>142</v>
      </c>
      <c r="K22" s="43"/>
      <c r="L22" s="41"/>
      <c r="M22" s="41"/>
      <c r="N22" s="41"/>
      <c r="O22" s="45"/>
      <c r="P22" s="46"/>
      <c r="Q22" s="49"/>
      <c r="R22" s="48" t="s">
        <v>44</v>
      </c>
      <c r="S22" s="48"/>
      <c r="T22" s="53"/>
      <c r="U22" s="54"/>
      <c r="V22" s="49"/>
      <c r="W22" s="49"/>
      <c r="X22" s="50" t="s">
        <v>38</v>
      </c>
      <c r="Y22" s="50" t="s">
        <v>38</v>
      </c>
      <c r="Z22" s="50" t="s">
        <v>38</v>
      </c>
      <c r="AA22" s="51"/>
      <c r="AB22" s="51"/>
    </row>
    <row r="23" spans="1:28" ht="37.5" x14ac:dyDescent="0.25">
      <c r="A23" s="41" t="s">
        <v>36</v>
      </c>
      <c r="B23" s="41" t="s">
        <v>37</v>
      </c>
      <c r="C23" s="41"/>
      <c r="D23" s="42">
        <v>45594</v>
      </c>
      <c r="E23" s="41" t="s">
        <v>38</v>
      </c>
      <c r="F23" s="41" t="s">
        <v>89</v>
      </c>
      <c r="G23" s="41" t="s">
        <v>90</v>
      </c>
      <c r="H23" s="43" t="s">
        <v>91</v>
      </c>
      <c r="I23" s="44" t="s">
        <v>143</v>
      </c>
      <c r="J23" s="44" t="s">
        <v>144</v>
      </c>
      <c r="K23" s="43" t="s">
        <v>145</v>
      </c>
      <c r="L23" s="41">
        <v>9349</v>
      </c>
      <c r="M23" s="41" t="s">
        <v>38</v>
      </c>
      <c r="N23" s="41" t="s">
        <v>98</v>
      </c>
      <c r="O23" s="45">
        <v>220000</v>
      </c>
      <c r="P23" s="46">
        <v>45594</v>
      </c>
      <c r="Q23" s="49"/>
      <c r="R23" s="48" t="s">
        <v>44</v>
      </c>
      <c r="S23" s="48" t="s">
        <v>146</v>
      </c>
      <c r="T23" s="53" t="s">
        <v>46</v>
      </c>
      <c r="U23" s="54" t="s">
        <v>38</v>
      </c>
      <c r="V23" s="49"/>
      <c r="W23" s="49"/>
      <c r="X23" s="50" t="s">
        <v>38</v>
      </c>
      <c r="Y23" s="50" t="s">
        <v>38</v>
      </c>
      <c r="Z23" s="50" t="s">
        <v>38</v>
      </c>
      <c r="AA23" s="51"/>
      <c r="AB23" s="51"/>
    </row>
    <row r="24" spans="1:28" ht="37.5" x14ac:dyDescent="0.25">
      <c r="A24" s="41" t="s">
        <v>36</v>
      </c>
      <c r="B24" s="41" t="s">
        <v>122</v>
      </c>
      <c r="C24" s="41"/>
      <c r="D24" s="42">
        <v>45594</v>
      </c>
      <c r="E24" s="41" t="s">
        <v>38</v>
      </c>
      <c r="F24" s="41" t="s">
        <v>136</v>
      </c>
      <c r="G24" s="41" t="s">
        <v>106</v>
      </c>
      <c r="H24" s="43" t="s">
        <v>107</v>
      </c>
      <c r="I24" s="44" t="s">
        <v>147</v>
      </c>
      <c r="J24" s="44" t="s">
        <v>148</v>
      </c>
      <c r="K24" s="43" t="s">
        <v>149</v>
      </c>
      <c r="L24" s="41" t="s">
        <v>38</v>
      </c>
      <c r="M24" s="41">
        <v>8</v>
      </c>
      <c r="N24" s="41" t="s">
        <v>98</v>
      </c>
      <c r="O24" s="45">
        <v>1800000</v>
      </c>
      <c r="P24" s="46">
        <v>45594</v>
      </c>
      <c r="Q24" s="49"/>
      <c r="R24" s="48" t="s">
        <v>44</v>
      </c>
      <c r="S24" s="48" t="s">
        <v>150</v>
      </c>
      <c r="T24" s="53" t="s">
        <v>46</v>
      </c>
      <c r="U24" s="54" t="s">
        <v>38</v>
      </c>
      <c r="V24" s="49"/>
      <c r="W24" s="49"/>
      <c r="X24" s="50" t="s">
        <v>38</v>
      </c>
      <c r="Y24" s="50" t="s">
        <v>38</v>
      </c>
      <c r="Z24" s="50" t="s">
        <v>38</v>
      </c>
      <c r="AA24" s="51"/>
      <c r="AB24" s="51"/>
    </row>
    <row r="25" spans="1:28" ht="62.5" x14ac:dyDescent="0.25">
      <c r="A25" s="41" t="s">
        <v>36</v>
      </c>
      <c r="B25" s="41" t="s">
        <v>122</v>
      </c>
      <c r="C25" s="41"/>
      <c r="D25" s="42">
        <v>45594</v>
      </c>
      <c r="E25" s="41" t="s">
        <v>38</v>
      </c>
      <c r="F25" s="41" t="s">
        <v>136</v>
      </c>
      <c r="G25" s="41" t="s">
        <v>40</v>
      </c>
      <c r="H25" s="43" t="s">
        <v>40</v>
      </c>
      <c r="I25" s="44" t="s">
        <v>151</v>
      </c>
      <c r="J25" s="44" t="s">
        <v>152</v>
      </c>
      <c r="K25" s="43" t="s">
        <v>153</v>
      </c>
      <c r="L25" s="41" t="s">
        <v>38</v>
      </c>
      <c r="M25" s="41">
        <v>189</v>
      </c>
      <c r="N25" s="41" t="s">
        <v>43</v>
      </c>
      <c r="O25" s="45">
        <v>10500000</v>
      </c>
      <c r="P25" s="46">
        <v>45595</v>
      </c>
      <c r="Q25" s="49"/>
      <c r="R25" s="48" t="s">
        <v>44</v>
      </c>
      <c r="S25" s="48" t="s">
        <v>150</v>
      </c>
      <c r="T25" s="53" t="s">
        <v>46</v>
      </c>
      <c r="U25" s="54" t="s">
        <v>38</v>
      </c>
      <c r="V25" s="49"/>
      <c r="W25" s="49"/>
      <c r="X25" s="50" t="s">
        <v>38</v>
      </c>
      <c r="Y25" s="50" t="s">
        <v>38</v>
      </c>
      <c r="Z25" s="50" t="s">
        <v>38</v>
      </c>
      <c r="AA25" s="51"/>
      <c r="AB25" s="51"/>
    </row>
    <row r="26" spans="1:28" ht="75" x14ac:dyDescent="0.25">
      <c r="A26" s="41" t="s">
        <v>36</v>
      </c>
      <c r="B26" s="41" t="s">
        <v>37</v>
      </c>
      <c r="C26" s="41"/>
      <c r="D26" s="42">
        <v>45594</v>
      </c>
      <c r="E26" s="41" t="s">
        <v>38</v>
      </c>
      <c r="F26" s="41" t="s">
        <v>154</v>
      </c>
      <c r="G26" s="41" t="s">
        <v>49</v>
      </c>
      <c r="H26" s="41" t="s">
        <v>50</v>
      </c>
      <c r="I26" s="44" t="s">
        <v>155</v>
      </c>
      <c r="J26" s="44" t="s">
        <v>156</v>
      </c>
      <c r="K26" s="43" t="s">
        <v>157</v>
      </c>
      <c r="L26" s="41">
        <v>359</v>
      </c>
      <c r="M26" s="41" t="s">
        <v>38</v>
      </c>
      <c r="N26" s="41" t="s">
        <v>43</v>
      </c>
      <c r="O26" s="45">
        <v>10833558</v>
      </c>
      <c r="P26" s="46">
        <v>45596</v>
      </c>
      <c r="Q26" s="49"/>
      <c r="R26" s="48" t="s">
        <v>44</v>
      </c>
      <c r="S26" s="48" t="s">
        <v>158</v>
      </c>
      <c r="T26" s="53" t="s">
        <v>54</v>
      </c>
      <c r="U26" s="54"/>
      <c r="V26" s="49"/>
      <c r="W26" s="49"/>
      <c r="X26" s="50" t="s">
        <v>38</v>
      </c>
      <c r="Y26" s="50" t="s">
        <v>38</v>
      </c>
      <c r="Z26" s="50" t="s">
        <v>38</v>
      </c>
      <c r="AA26" s="51"/>
      <c r="AB26" s="51"/>
    </row>
    <row r="27" spans="1:28" ht="125" x14ac:dyDescent="0.25">
      <c r="A27" s="41" t="s">
        <v>36</v>
      </c>
      <c r="B27" s="41" t="s">
        <v>88</v>
      </c>
      <c r="C27" s="41"/>
      <c r="D27" s="42">
        <v>45595</v>
      </c>
      <c r="E27" s="41" t="s">
        <v>38</v>
      </c>
      <c r="F27" s="41" t="s">
        <v>136</v>
      </c>
      <c r="G27" s="41" t="s">
        <v>40</v>
      </c>
      <c r="H27" s="43" t="s">
        <v>40</v>
      </c>
      <c r="I27" s="44" t="s">
        <v>159</v>
      </c>
      <c r="J27" s="44" t="s">
        <v>160</v>
      </c>
      <c r="K27" s="43" t="s">
        <v>80</v>
      </c>
      <c r="L27" s="41"/>
      <c r="M27" s="41"/>
      <c r="N27" s="41"/>
      <c r="O27" s="45"/>
      <c r="P27" s="46"/>
      <c r="Q27" s="49"/>
      <c r="R27" s="48" t="s">
        <v>44</v>
      </c>
      <c r="S27" s="48" t="s">
        <v>38</v>
      </c>
      <c r="T27" s="53"/>
      <c r="U27" s="54"/>
      <c r="V27" s="49"/>
      <c r="W27" s="49"/>
      <c r="X27" s="50" t="s">
        <v>38</v>
      </c>
      <c r="Y27" s="50" t="s">
        <v>38</v>
      </c>
      <c r="Z27" s="50" t="s">
        <v>38</v>
      </c>
      <c r="AA27" s="51"/>
      <c r="AB27" s="51"/>
    </row>
    <row r="28" spans="1:28" ht="25" x14ac:dyDescent="0.25">
      <c r="A28" s="41" t="s">
        <v>36</v>
      </c>
      <c r="B28" s="41" t="s">
        <v>37</v>
      </c>
      <c r="C28" s="41"/>
      <c r="D28" s="42">
        <v>45595</v>
      </c>
      <c r="E28" s="41" t="s">
        <v>38</v>
      </c>
      <c r="F28" s="41" t="s">
        <v>161</v>
      </c>
      <c r="G28" s="41" t="s">
        <v>40</v>
      </c>
      <c r="H28" s="43" t="s">
        <v>40</v>
      </c>
      <c r="I28" s="44" t="s">
        <v>162</v>
      </c>
      <c r="J28" s="44" t="s">
        <v>163</v>
      </c>
      <c r="K28" s="43" t="s">
        <v>164</v>
      </c>
      <c r="L28" s="41"/>
      <c r="M28" s="41"/>
      <c r="N28" s="41"/>
      <c r="O28" s="45"/>
      <c r="P28" s="46"/>
      <c r="Q28" s="49"/>
      <c r="R28" s="48" t="s">
        <v>44</v>
      </c>
      <c r="S28" s="48"/>
      <c r="T28" s="53"/>
      <c r="U28" s="54"/>
      <c r="V28" s="49"/>
      <c r="W28" s="49"/>
      <c r="X28" s="50" t="s">
        <v>38</v>
      </c>
      <c r="Y28" s="50" t="s">
        <v>38</v>
      </c>
      <c r="Z28" s="50" t="s">
        <v>38</v>
      </c>
      <c r="AA28" s="51"/>
      <c r="AB28" s="51"/>
    </row>
    <row r="29" spans="1:28" ht="62.5" x14ac:dyDescent="0.25">
      <c r="A29" s="41" t="s">
        <v>36</v>
      </c>
      <c r="B29" s="41" t="s">
        <v>88</v>
      </c>
      <c r="C29" s="41"/>
      <c r="D29" s="42">
        <v>45596</v>
      </c>
      <c r="E29" s="41" t="s">
        <v>38</v>
      </c>
      <c r="F29" s="41" t="s">
        <v>165</v>
      </c>
      <c r="G29" s="41" t="s">
        <v>106</v>
      </c>
      <c r="H29" s="43" t="s">
        <v>107</v>
      </c>
      <c r="I29" s="44" t="s">
        <v>166</v>
      </c>
      <c r="J29" s="44" t="s">
        <v>167</v>
      </c>
      <c r="K29" s="43" t="s">
        <v>168</v>
      </c>
      <c r="L29" s="41" t="s">
        <v>38</v>
      </c>
      <c r="M29" s="41" t="s">
        <v>38</v>
      </c>
      <c r="N29" s="41" t="s">
        <v>38</v>
      </c>
      <c r="O29" s="45" t="s">
        <v>38</v>
      </c>
      <c r="P29" s="53" t="s">
        <v>38</v>
      </c>
      <c r="Q29" s="48" t="s">
        <v>38</v>
      </c>
      <c r="R29" s="48" t="s">
        <v>44</v>
      </c>
      <c r="S29" s="48" t="s">
        <v>169</v>
      </c>
      <c r="T29" s="53" t="s">
        <v>38</v>
      </c>
      <c r="U29" s="53" t="s">
        <v>38</v>
      </c>
      <c r="V29" s="48" t="s">
        <v>38</v>
      </c>
      <c r="W29" s="48" t="s">
        <v>38</v>
      </c>
      <c r="X29" s="50" t="s">
        <v>38</v>
      </c>
      <c r="Y29" s="50" t="s">
        <v>38</v>
      </c>
      <c r="Z29" s="50" t="s">
        <v>38</v>
      </c>
      <c r="AA29" s="51"/>
      <c r="AB29" s="51"/>
    </row>
    <row r="30" spans="1:28" ht="25" x14ac:dyDescent="0.25">
      <c r="A30" s="41" t="s">
        <v>36</v>
      </c>
      <c r="B30" s="41" t="s">
        <v>37</v>
      </c>
      <c r="C30" s="41"/>
      <c r="D30" s="42">
        <v>45596</v>
      </c>
      <c r="E30" s="41" t="s">
        <v>38</v>
      </c>
      <c r="F30" s="41" t="s">
        <v>100</v>
      </c>
      <c r="G30" s="41" t="s">
        <v>40</v>
      </c>
      <c r="H30" s="43" t="s">
        <v>40</v>
      </c>
      <c r="I30" s="44" t="s">
        <v>118</v>
      </c>
      <c r="J30" s="44"/>
      <c r="K30" s="43" t="s">
        <v>170</v>
      </c>
      <c r="L30" s="41"/>
      <c r="M30" s="41">
        <v>7</v>
      </c>
      <c r="N30" s="41" t="s">
        <v>43</v>
      </c>
      <c r="O30" s="45">
        <v>300000</v>
      </c>
      <c r="P30" s="46">
        <v>45596</v>
      </c>
      <c r="Q30" s="49"/>
      <c r="R30" s="48" t="s">
        <v>44</v>
      </c>
      <c r="S30" s="48"/>
      <c r="T30" s="53"/>
      <c r="U30" s="54"/>
      <c r="V30" s="49"/>
      <c r="W30" s="49"/>
      <c r="X30" s="50" t="s">
        <v>38</v>
      </c>
      <c r="Y30" s="50" t="s">
        <v>38</v>
      </c>
      <c r="Z30" s="50" t="s">
        <v>38</v>
      </c>
      <c r="AA30" s="51"/>
      <c r="AB30" s="51"/>
    </row>
    <row r="31" spans="1:28" ht="37.5" x14ac:dyDescent="0.25">
      <c r="A31" s="41" t="s">
        <v>36</v>
      </c>
      <c r="B31" s="41" t="s">
        <v>37</v>
      </c>
      <c r="C31" s="41"/>
      <c r="D31" s="42">
        <v>45596</v>
      </c>
      <c r="E31" s="41" t="s">
        <v>38</v>
      </c>
      <c r="F31" s="41" t="s">
        <v>171</v>
      </c>
      <c r="G31" s="41" t="s">
        <v>40</v>
      </c>
      <c r="H31" s="43" t="s">
        <v>40</v>
      </c>
      <c r="I31" s="44" t="s">
        <v>172</v>
      </c>
      <c r="J31" s="44" t="s">
        <v>173</v>
      </c>
      <c r="K31" s="43" t="s">
        <v>174</v>
      </c>
      <c r="L31" s="41" t="s">
        <v>38</v>
      </c>
      <c r="M31" s="41">
        <v>8</v>
      </c>
      <c r="N31" s="41" t="s">
        <v>43</v>
      </c>
      <c r="O31" s="45">
        <v>2089045</v>
      </c>
      <c r="P31" s="46">
        <v>45596</v>
      </c>
      <c r="Q31" s="49"/>
      <c r="R31" s="48" t="s">
        <v>44</v>
      </c>
      <c r="S31" s="48"/>
      <c r="T31" s="53" t="s">
        <v>54</v>
      </c>
      <c r="U31" s="54"/>
      <c r="V31" s="49"/>
      <c r="W31" s="49"/>
      <c r="X31" s="50" t="s">
        <v>38</v>
      </c>
      <c r="Y31" s="50" t="s">
        <v>38</v>
      </c>
      <c r="Z31" s="50" t="s">
        <v>38</v>
      </c>
      <c r="AA31" s="51"/>
      <c r="AB31" s="51"/>
    </row>
    <row r="32" spans="1:28" ht="62.5" x14ac:dyDescent="0.25">
      <c r="A32" s="41" t="s">
        <v>36</v>
      </c>
      <c r="B32" s="41" t="s">
        <v>37</v>
      </c>
      <c r="C32" s="41"/>
      <c r="D32" s="42">
        <v>45596</v>
      </c>
      <c r="E32" s="41">
        <v>4</v>
      </c>
      <c r="F32" s="41" t="s">
        <v>100</v>
      </c>
      <c r="G32" s="41" t="s">
        <v>40</v>
      </c>
      <c r="H32" s="43" t="s">
        <v>91</v>
      </c>
      <c r="I32" s="44" t="s">
        <v>175</v>
      </c>
      <c r="J32" s="44" t="s">
        <v>176</v>
      </c>
      <c r="K32" s="43" t="s">
        <v>94</v>
      </c>
      <c r="L32" s="41">
        <v>21</v>
      </c>
      <c r="M32" s="41" t="s">
        <v>38</v>
      </c>
      <c r="N32" s="41" t="s">
        <v>43</v>
      </c>
      <c r="O32" s="45">
        <v>2191266</v>
      </c>
      <c r="P32" s="46">
        <v>45603</v>
      </c>
      <c r="Q32" s="49"/>
      <c r="R32" s="48" t="s">
        <v>44</v>
      </c>
      <c r="S32" s="48" t="s">
        <v>177</v>
      </c>
      <c r="T32" s="53" t="s">
        <v>54</v>
      </c>
      <c r="U32" s="53" t="s">
        <v>178</v>
      </c>
      <c r="V32" s="49"/>
      <c r="W32" s="49"/>
      <c r="X32" s="50" t="s">
        <v>38</v>
      </c>
      <c r="Y32" s="50" t="s">
        <v>38</v>
      </c>
      <c r="Z32" s="50" t="s">
        <v>38</v>
      </c>
      <c r="AA32" s="51"/>
      <c r="AB32" s="51"/>
    </row>
    <row r="33" spans="1:28" ht="37.5" x14ac:dyDescent="0.25">
      <c r="A33" s="41" t="s">
        <v>36</v>
      </c>
      <c r="B33" s="41" t="s">
        <v>37</v>
      </c>
      <c r="C33" s="41"/>
      <c r="D33" s="42">
        <v>45596</v>
      </c>
      <c r="E33" s="41">
        <v>5</v>
      </c>
      <c r="F33" s="41" t="s">
        <v>100</v>
      </c>
      <c r="G33" s="41" t="s">
        <v>40</v>
      </c>
      <c r="H33" s="43" t="s">
        <v>40</v>
      </c>
      <c r="I33" s="44" t="s">
        <v>179</v>
      </c>
      <c r="J33" s="44" t="s">
        <v>180</v>
      </c>
      <c r="K33" s="43" t="s">
        <v>181</v>
      </c>
      <c r="L33" s="41">
        <v>22</v>
      </c>
      <c r="M33" s="41" t="s">
        <v>38</v>
      </c>
      <c r="N33" s="41" t="s">
        <v>182</v>
      </c>
      <c r="O33" s="45">
        <v>30273600</v>
      </c>
      <c r="P33" s="46">
        <v>45604</v>
      </c>
      <c r="Q33" s="49"/>
      <c r="R33" s="48" t="s">
        <v>44</v>
      </c>
      <c r="S33" s="48" t="s">
        <v>177</v>
      </c>
      <c r="T33" s="53" t="s">
        <v>54</v>
      </c>
      <c r="U33" s="54"/>
      <c r="V33" s="49"/>
      <c r="W33" s="49"/>
      <c r="X33" s="50" t="s">
        <v>38</v>
      </c>
      <c r="Y33" s="50" t="s">
        <v>38</v>
      </c>
      <c r="Z33" s="50" t="s">
        <v>38</v>
      </c>
      <c r="AA33" s="51"/>
      <c r="AB33" s="51"/>
    </row>
    <row r="34" spans="1:28" ht="75" x14ac:dyDescent="0.25">
      <c r="A34" s="41" t="s">
        <v>36</v>
      </c>
      <c r="B34" s="41" t="s">
        <v>37</v>
      </c>
      <c r="C34" s="41"/>
      <c r="D34" s="42">
        <v>45596</v>
      </c>
      <c r="E34" s="41">
        <v>6</v>
      </c>
      <c r="F34" s="41" t="s">
        <v>100</v>
      </c>
      <c r="G34" s="41" t="s">
        <v>40</v>
      </c>
      <c r="H34" s="43" t="s">
        <v>91</v>
      </c>
      <c r="I34" s="44" t="s">
        <v>175</v>
      </c>
      <c r="J34" s="44" t="s">
        <v>183</v>
      </c>
      <c r="K34" s="43" t="s">
        <v>94</v>
      </c>
      <c r="L34" s="41">
        <v>20</v>
      </c>
      <c r="M34" s="41" t="s">
        <v>38</v>
      </c>
      <c r="N34" s="41" t="s">
        <v>43</v>
      </c>
      <c r="O34" s="45">
        <v>14639542</v>
      </c>
      <c r="P34" s="46">
        <v>45603</v>
      </c>
      <c r="Q34" s="49"/>
      <c r="R34" s="48" t="s">
        <v>44</v>
      </c>
      <c r="S34" s="48" t="s">
        <v>177</v>
      </c>
      <c r="T34" s="53" t="s">
        <v>54</v>
      </c>
      <c r="U34" s="54"/>
      <c r="V34" s="49"/>
      <c r="W34" s="49"/>
      <c r="X34" s="50" t="s">
        <v>38</v>
      </c>
      <c r="Y34" s="50" t="s">
        <v>38</v>
      </c>
      <c r="Z34" s="50" t="s">
        <v>38</v>
      </c>
      <c r="AA34" s="51"/>
      <c r="AB34" s="51"/>
    </row>
    <row r="35" spans="1:28" ht="62.5" x14ac:dyDescent="0.25">
      <c r="A35" s="41" t="s">
        <v>36</v>
      </c>
      <c r="B35" s="41" t="s">
        <v>37</v>
      </c>
      <c r="C35" s="41"/>
      <c r="D35" s="42">
        <v>45596</v>
      </c>
      <c r="E35" s="41" t="s">
        <v>38</v>
      </c>
      <c r="F35" s="41" t="s">
        <v>171</v>
      </c>
      <c r="G35" s="41" t="s">
        <v>40</v>
      </c>
      <c r="H35" s="43" t="s">
        <v>40</v>
      </c>
      <c r="I35" s="44" t="s">
        <v>101</v>
      </c>
      <c r="J35" s="44" t="s">
        <v>184</v>
      </c>
      <c r="K35" s="43" t="s">
        <v>185</v>
      </c>
      <c r="L35" s="41">
        <v>11</v>
      </c>
      <c r="M35" s="41" t="s">
        <v>38</v>
      </c>
      <c r="N35" s="41" t="s">
        <v>43</v>
      </c>
      <c r="O35" s="45">
        <v>17232520</v>
      </c>
      <c r="P35" s="46"/>
      <c r="Q35" s="49"/>
      <c r="R35" s="48" t="s">
        <v>44</v>
      </c>
      <c r="S35" s="48" t="s">
        <v>38</v>
      </c>
      <c r="T35" s="53" t="s">
        <v>54</v>
      </c>
      <c r="U35" s="53" t="s">
        <v>38</v>
      </c>
      <c r="V35" s="48"/>
      <c r="W35" s="48" t="s">
        <v>38</v>
      </c>
      <c r="X35" s="50" t="s">
        <v>38</v>
      </c>
      <c r="Y35" s="50" t="s">
        <v>38</v>
      </c>
      <c r="Z35" s="50" t="s">
        <v>38</v>
      </c>
      <c r="AA35" s="51"/>
      <c r="AB35" s="51"/>
    </row>
    <row r="36" spans="1:28" ht="37.5" x14ac:dyDescent="0.25">
      <c r="A36" s="41" t="s">
        <v>36</v>
      </c>
      <c r="B36" s="41" t="s">
        <v>37</v>
      </c>
      <c r="C36" s="41"/>
      <c r="D36" s="42">
        <v>45596</v>
      </c>
      <c r="E36" s="41">
        <v>5</v>
      </c>
      <c r="F36" s="41" t="s">
        <v>100</v>
      </c>
      <c r="G36" s="41" t="s">
        <v>40</v>
      </c>
      <c r="H36" s="43" t="s">
        <v>40</v>
      </c>
      <c r="I36" s="44" t="s">
        <v>186</v>
      </c>
      <c r="J36" s="44" t="s">
        <v>187</v>
      </c>
      <c r="K36" s="43"/>
      <c r="L36" s="41"/>
      <c r="M36" s="41"/>
      <c r="N36" s="41"/>
      <c r="O36" s="45"/>
      <c r="P36" s="46"/>
      <c r="Q36" s="49"/>
      <c r="R36" s="48" t="s">
        <v>44</v>
      </c>
      <c r="S36" s="48"/>
      <c r="T36" s="53"/>
      <c r="U36" s="54"/>
      <c r="V36" s="49"/>
      <c r="W36" s="49"/>
      <c r="X36" s="50" t="s">
        <v>38</v>
      </c>
      <c r="Y36" s="50" t="s">
        <v>38</v>
      </c>
      <c r="Z36" s="50" t="s">
        <v>38</v>
      </c>
      <c r="AA36" s="51"/>
      <c r="AB36" s="51"/>
    </row>
    <row r="37" spans="1:28" ht="87.5" x14ac:dyDescent="0.25">
      <c r="A37" s="41" t="s">
        <v>36</v>
      </c>
      <c r="B37" s="41" t="s">
        <v>37</v>
      </c>
      <c r="C37" s="41"/>
      <c r="D37" s="42">
        <v>45597</v>
      </c>
      <c r="E37" s="41" t="s">
        <v>38</v>
      </c>
      <c r="F37" s="41" t="s">
        <v>188</v>
      </c>
      <c r="G37" s="41" t="s">
        <v>40</v>
      </c>
      <c r="H37" s="43" t="s">
        <v>40</v>
      </c>
      <c r="I37" s="44" t="s">
        <v>189</v>
      </c>
      <c r="J37" s="44" t="s">
        <v>190</v>
      </c>
      <c r="K37" s="43" t="s">
        <v>191</v>
      </c>
      <c r="L37" s="41">
        <v>17</v>
      </c>
      <c r="M37" s="41" t="s">
        <v>38</v>
      </c>
      <c r="N37" s="41" t="s">
        <v>98</v>
      </c>
      <c r="O37" s="45">
        <v>6641000</v>
      </c>
      <c r="P37" s="46">
        <v>45598</v>
      </c>
      <c r="Q37" s="49"/>
      <c r="R37" s="48" t="s">
        <v>44</v>
      </c>
      <c r="S37" s="48" t="s">
        <v>192</v>
      </c>
      <c r="T37" s="53" t="s">
        <v>62</v>
      </c>
      <c r="U37" s="54"/>
      <c r="V37" s="49"/>
      <c r="W37" s="49"/>
      <c r="X37" s="50" t="s">
        <v>38</v>
      </c>
      <c r="Y37" s="50" t="s">
        <v>38</v>
      </c>
      <c r="Z37" s="50" t="s">
        <v>38</v>
      </c>
      <c r="AA37" s="51"/>
      <c r="AB37" s="51"/>
    </row>
    <row r="38" spans="1:28" ht="25" x14ac:dyDescent="0.25">
      <c r="A38" s="41" t="s">
        <v>36</v>
      </c>
      <c r="B38" s="41" t="s">
        <v>37</v>
      </c>
      <c r="C38" s="41"/>
      <c r="D38" s="42">
        <v>45597</v>
      </c>
      <c r="E38" s="41" t="s">
        <v>38</v>
      </c>
      <c r="F38" s="41" t="s">
        <v>193</v>
      </c>
      <c r="G38" s="41" t="s">
        <v>49</v>
      </c>
      <c r="H38" s="41" t="s">
        <v>50</v>
      </c>
      <c r="I38" s="44" t="s">
        <v>194</v>
      </c>
      <c r="J38" s="44" t="s">
        <v>195</v>
      </c>
      <c r="K38" s="43" t="s">
        <v>196</v>
      </c>
      <c r="L38" s="41">
        <v>360</v>
      </c>
      <c r="M38" s="41" t="s">
        <v>38</v>
      </c>
      <c r="N38" s="41" t="s">
        <v>98</v>
      </c>
      <c r="O38" s="45">
        <v>2984336</v>
      </c>
      <c r="P38" s="46">
        <v>45597</v>
      </c>
      <c r="Q38" s="49"/>
      <c r="R38" s="48" t="s">
        <v>44</v>
      </c>
      <c r="S38" s="48" t="s">
        <v>197</v>
      </c>
      <c r="T38" s="53" t="s">
        <v>46</v>
      </c>
      <c r="U38" s="54"/>
      <c r="V38" s="49"/>
      <c r="W38" s="49"/>
      <c r="X38" s="50" t="s">
        <v>38</v>
      </c>
      <c r="Y38" s="50" t="s">
        <v>38</v>
      </c>
      <c r="Z38" s="50" t="s">
        <v>38</v>
      </c>
      <c r="AA38" s="51"/>
      <c r="AB38" s="51"/>
    </row>
    <row r="39" spans="1:28" ht="25" x14ac:dyDescent="0.25">
      <c r="A39" s="41" t="s">
        <v>36</v>
      </c>
      <c r="B39" s="41" t="s">
        <v>37</v>
      </c>
      <c r="C39" s="41"/>
      <c r="D39" s="42">
        <v>45597</v>
      </c>
      <c r="E39" s="41" t="s">
        <v>38</v>
      </c>
      <c r="F39" s="41" t="s">
        <v>171</v>
      </c>
      <c r="G39" s="41" t="s">
        <v>40</v>
      </c>
      <c r="H39" s="43" t="s">
        <v>40</v>
      </c>
      <c r="I39" s="44" t="s">
        <v>198</v>
      </c>
      <c r="J39" s="44" t="s">
        <v>199</v>
      </c>
      <c r="K39" s="43" t="s">
        <v>200</v>
      </c>
      <c r="L39" s="41">
        <v>19</v>
      </c>
      <c r="M39" s="41" t="s">
        <v>38</v>
      </c>
      <c r="N39" s="41" t="s">
        <v>43</v>
      </c>
      <c r="O39" s="45">
        <v>7822050</v>
      </c>
      <c r="P39" s="46">
        <v>45601</v>
      </c>
      <c r="Q39" s="49"/>
      <c r="R39" s="48" t="s">
        <v>44</v>
      </c>
      <c r="S39" s="48" t="s">
        <v>201</v>
      </c>
      <c r="T39" s="53" t="s">
        <v>46</v>
      </c>
      <c r="U39" s="54"/>
      <c r="V39" s="49"/>
      <c r="W39" s="49"/>
      <c r="X39" s="50" t="s">
        <v>38</v>
      </c>
      <c r="Y39" s="50" t="s">
        <v>38</v>
      </c>
      <c r="Z39" s="50" t="s">
        <v>38</v>
      </c>
      <c r="AA39" s="51"/>
      <c r="AB39" s="51"/>
    </row>
    <row r="40" spans="1:28" ht="62.5" x14ac:dyDescent="0.25">
      <c r="A40" s="41" t="s">
        <v>36</v>
      </c>
      <c r="B40" s="41" t="s">
        <v>37</v>
      </c>
      <c r="C40" s="41"/>
      <c r="D40" s="42">
        <v>45597</v>
      </c>
      <c r="E40" s="41" t="s">
        <v>38</v>
      </c>
      <c r="F40" s="41" t="s">
        <v>136</v>
      </c>
      <c r="G40" s="41" t="s">
        <v>40</v>
      </c>
      <c r="H40" s="43" t="s">
        <v>40</v>
      </c>
      <c r="I40" s="44" t="s">
        <v>202</v>
      </c>
      <c r="J40" s="44" t="s">
        <v>203</v>
      </c>
      <c r="K40" s="43" t="s">
        <v>80</v>
      </c>
      <c r="L40" s="41"/>
      <c r="M40" s="41" t="s">
        <v>204</v>
      </c>
      <c r="N40" s="41" t="s">
        <v>98</v>
      </c>
      <c r="O40" s="45"/>
      <c r="P40" s="46"/>
      <c r="Q40" s="49"/>
      <c r="R40" s="48" t="s">
        <v>44</v>
      </c>
      <c r="S40" s="48" t="s">
        <v>38</v>
      </c>
      <c r="T40" s="53"/>
      <c r="U40" s="54"/>
      <c r="V40" s="49"/>
      <c r="W40" s="49"/>
      <c r="X40" s="50" t="s">
        <v>38</v>
      </c>
      <c r="Y40" s="50" t="s">
        <v>38</v>
      </c>
      <c r="Z40" s="50" t="s">
        <v>38</v>
      </c>
      <c r="AA40" s="51"/>
      <c r="AB40" s="51"/>
    </row>
    <row r="41" spans="1:28" ht="87.5" x14ac:dyDescent="0.25">
      <c r="A41" s="41" t="s">
        <v>36</v>
      </c>
      <c r="B41" s="41" t="s">
        <v>37</v>
      </c>
      <c r="C41" s="41"/>
      <c r="D41" s="42">
        <v>45597</v>
      </c>
      <c r="E41" s="41" t="s">
        <v>38</v>
      </c>
      <c r="F41" s="41" t="s">
        <v>56</v>
      </c>
      <c r="G41" s="41" t="s">
        <v>63</v>
      </c>
      <c r="H41" s="41" t="s">
        <v>64</v>
      </c>
      <c r="I41" s="44" t="s">
        <v>205</v>
      </c>
      <c r="J41" s="44" t="s">
        <v>206</v>
      </c>
      <c r="K41" s="43" t="s">
        <v>207</v>
      </c>
      <c r="L41" s="41">
        <v>288</v>
      </c>
      <c r="M41" s="41" t="s">
        <v>38</v>
      </c>
      <c r="N41" s="41" t="s">
        <v>43</v>
      </c>
      <c r="O41" s="45">
        <v>1175720</v>
      </c>
      <c r="P41" s="46">
        <v>45691</v>
      </c>
      <c r="Q41" s="49">
        <v>45702</v>
      </c>
      <c r="R41" s="48" t="s">
        <v>44</v>
      </c>
      <c r="S41" s="48" t="s">
        <v>208</v>
      </c>
      <c r="T41" s="53" t="s">
        <v>46</v>
      </c>
      <c r="U41" s="53">
        <v>10000060</v>
      </c>
      <c r="V41" s="49"/>
      <c r="W41" s="49">
        <v>45708</v>
      </c>
      <c r="X41" s="50" t="s">
        <v>38</v>
      </c>
      <c r="Y41" s="50" t="s">
        <v>38</v>
      </c>
      <c r="Z41" s="50" t="s">
        <v>38</v>
      </c>
      <c r="AA41" s="51"/>
      <c r="AB41" s="51"/>
    </row>
    <row r="42" spans="1:28" ht="37.5" x14ac:dyDescent="0.25">
      <c r="A42" s="41" t="s">
        <v>36</v>
      </c>
      <c r="B42" s="41" t="s">
        <v>88</v>
      </c>
      <c r="C42" s="41"/>
      <c r="D42" s="42">
        <v>45598</v>
      </c>
      <c r="E42" s="41" t="s">
        <v>38</v>
      </c>
      <c r="F42" s="41" t="s">
        <v>209</v>
      </c>
      <c r="G42" s="41" t="s">
        <v>70</v>
      </c>
      <c r="H42" s="43" t="s">
        <v>71</v>
      </c>
      <c r="I42" s="44" t="s">
        <v>210</v>
      </c>
      <c r="J42" s="44" t="s">
        <v>211</v>
      </c>
      <c r="K42" s="43" t="s">
        <v>212</v>
      </c>
      <c r="L42" s="41"/>
      <c r="M42" s="41" t="s">
        <v>213</v>
      </c>
      <c r="N42" s="41"/>
      <c r="O42" s="45"/>
      <c r="P42" s="46"/>
      <c r="Q42" s="49"/>
      <c r="R42" s="48" t="s">
        <v>44</v>
      </c>
      <c r="S42" s="48"/>
      <c r="T42" s="53"/>
      <c r="U42" s="54"/>
      <c r="V42" s="49"/>
      <c r="W42" s="49"/>
      <c r="X42" s="50" t="s">
        <v>38</v>
      </c>
      <c r="Y42" s="50" t="s">
        <v>38</v>
      </c>
      <c r="Z42" s="50" t="s">
        <v>38</v>
      </c>
      <c r="AA42" s="51"/>
      <c r="AB42" s="51"/>
    </row>
    <row r="43" spans="1:28" ht="50" x14ac:dyDescent="0.25">
      <c r="A43" s="41" t="s">
        <v>36</v>
      </c>
      <c r="B43" s="41" t="s">
        <v>37</v>
      </c>
      <c r="C43" s="41"/>
      <c r="D43" s="42">
        <v>45598</v>
      </c>
      <c r="E43" s="41" t="s">
        <v>38</v>
      </c>
      <c r="F43" s="41" t="s">
        <v>161</v>
      </c>
      <c r="G43" s="41" t="s">
        <v>90</v>
      </c>
      <c r="H43" s="43" t="s">
        <v>91</v>
      </c>
      <c r="I43" s="44" t="s">
        <v>214</v>
      </c>
      <c r="J43" s="44" t="s">
        <v>215</v>
      </c>
      <c r="K43" s="43"/>
      <c r="L43" s="41"/>
      <c r="M43" s="41"/>
      <c r="N43" s="41"/>
      <c r="O43" s="45"/>
      <c r="P43" s="46"/>
      <c r="Q43" s="49"/>
      <c r="R43" s="48" t="s">
        <v>44</v>
      </c>
      <c r="S43" s="48"/>
      <c r="T43" s="53"/>
      <c r="U43" s="54"/>
      <c r="V43" s="49"/>
      <c r="W43" s="49"/>
      <c r="X43" s="50" t="s">
        <v>38</v>
      </c>
      <c r="Y43" s="50" t="s">
        <v>38</v>
      </c>
      <c r="Z43" s="50" t="s">
        <v>38</v>
      </c>
      <c r="AA43" s="51"/>
      <c r="AB43" s="51"/>
    </row>
    <row r="44" spans="1:28" ht="25" x14ac:dyDescent="0.25">
      <c r="A44" s="41" t="s">
        <v>36</v>
      </c>
      <c r="B44" s="41" t="s">
        <v>37</v>
      </c>
      <c r="C44" s="41"/>
      <c r="D44" s="42">
        <v>45598</v>
      </c>
      <c r="E44" s="41" t="s">
        <v>38</v>
      </c>
      <c r="F44" s="41" t="s">
        <v>216</v>
      </c>
      <c r="G44" s="41" t="s">
        <v>217</v>
      </c>
      <c r="H44" s="41" t="s">
        <v>217</v>
      </c>
      <c r="I44" s="44" t="s">
        <v>218</v>
      </c>
      <c r="J44" s="44" t="s">
        <v>219</v>
      </c>
      <c r="K44" s="43" t="s">
        <v>220</v>
      </c>
      <c r="L44" s="41" t="s">
        <v>38</v>
      </c>
      <c r="M44" s="41">
        <v>5</v>
      </c>
      <c r="N44" s="41" t="s">
        <v>182</v>
      </c>
      <c r="O44" s="45">
        <v>19607035</v>
      </c>
      <c r="P44" s="46">
        <v>45603</v>
      </c>
      <c r="Q44" s="49"/>
      <c r="R44" s="48" t="s">
        <v>44</v>
      </c>
      <c r="S44" s="48" t="s">
        <v>221</v>
      </c>
      <c r="T44" s="53" t="s">
        <v>54</v>
      </c>
      <c r="U44" s="54"/>
      <c r="V44" s="49"/>
      <c r="W44" s="49"/>
      <c r="X44" s="50" t="s">
        <v>38</v>
      </c>
      <c r="Y44" s="50" t="s">
        <v>38</v>
      </c>
      <c r="Z44" s="50" t="s">
        <v>38</v>
      </c>
      <c r="AA44" s="51"/>
      <c r="AB44" s="51"/>
    </row>
    <row r="45" spans="1:28" ht="25" x14ac:dyDescent="0.25">
      <c r="A45" s="41" t="s">
        <v>36</v>
      </c>
      <c r="B45" s="41" t="s">
        <v>37</v>
      </c>
      <c r="C45" s="41"/>
      <c r="D45" s="42">
        <v>45598</v>
      </c>
      <c r="E45" s="41" t="s">
        <v>38</v>
      </c>
      <c r="F45" s="41" t="s">
        <v>216</v>
      </c>
      <c r="G45" s="41" t="s">
        <v>217</v>
      </c>
      <c r="H45" s="41" t="s">
        <v>217</v>
      </c>
      <c r="I45" s="44" t="s">
        <v>218</v>
      </c>
      <c r="J45" s="44" t="s">
        <v>219</v>
      </c>
      <c r="K45" s="43" t="s">
        <v>220</v>
      </c>
      <c r="L45" s="41" t="s">
        <v>38</v>
      </c>
      <c r="M45" s="41">
        <v>4</v>
      </c>
      <c r="N45" s="41" t="s">
        <v>182</v>
      </c>
      <c r="O45" s="45">
        <v>18122510</v>
      </c>
      <c r="P45" s="46">
        <v>45603</v>
      </c>
      <c r="Q45" s="49"/>
      <c r="R45" s="48" t="s">
        <v>44</v>
      </c>
      <c r="S45" s="48" t="s">
        <v>221</v>
      </c>
      <c r="T45" s="53" t="s">
        <v>54</v>
      </c>
      <c r="U45" s="54"/>
      <c r="V45" s="49"/>
      <c r="W45" s="49"/>
      <c r="X45" s="50" t="s">
        <v>38</v>
      </c>
      <c r="Y45" s="50" t="s">
        <v>38</v>
      </c>
      <c r="Z45" s="50" t="s">
        <v>38</v>
      </c>
      <c r="AA45" s="51"/>
      <c r="AB45" s="51"/>
    </row>
    <row r="46" spans="1:28" ht="100" x14ac:dyDescent="0.25">
      <c r="A46" s="41" t="s">
        <v>36</v>
      </c>
      <c r="B46" s="41" t="s">
        <v>88</v>
      </c>
      <c r="C46" s="41"/>
      <c r="D46" s="42">
        <v>45598</v>
      </c>
      <c r="E46" s="41" t="s">
        <v>38</v>
      </c>
      <c r="F46" s="41" t="s">
        <v>209</v>
      </c>
      <c r="G46" s="41" t="s">
        <v>106</v>
      </c>
      <c r="H46" s="43" t="s">
        <v>107</v>
      </c>
      <c r="I46" s="44" t="s">
        <v>222</v>
      </c>
      <c r="J46" s="44" t="s">
        <v>223</v>
      </c>
      <c r="K46" s="43" t="s">
        <v>224</v>
      </c>
      <c r="L46" s="41">
        <v>19</v>
      </c>
      <c r="M46" s="41" t="s">
        <v>38</v>
      </c>
      <c r="N46" s="41" t="s">
        <v>43</v>
      </c>
      <c r="O46" s="45">
        <v>6021977</v>
      </c>
      <c r="P46" s="46">
        <v>45463</v>
      </c>
      <c r="Q46" s="49"/>
      <c r="R46" s="48" t="s">
        <v>44</v>
      </c>
      <c r="S46" s="48"/>
      <c r="T46" s="53"/>
      <c r="U46" s="54"/>
      <c r="V46" s="49"/>
      <c r="W46" s="49"/>
      <c r="X46" s="50" t="s">
        <v>38</v>
      </c>
      <c r="Y46" s="50" t="s">
        <v>38</v>
      </c>
      <c r="Z46" s="50" t="s">
        <v>38</v>
      </c>
      <c r="AA46" s="51"/>
      <c r="AB46" s="51"/>
    </row>
    <row r="47" spans="1:28" ht="50" x14ac:dyDescent="0.25">
      <c r="A47" s="41" t="s">
        <v>36</v>
      </c>
      <c r="B47" s="41" t="s">
        <v>37</v>
      </c>
      <c r="C47" s="41"/>
      <c r="D47" s="42">
        <v>45601</v>
      </c>
      <c r="E47" s="41" t="s">
        <v>225</v>
      </c>
      <c r="F47" s="41" t="s">
        <v>165</v>
      </c>
      <c r="G47" s="41" t="s">
        <v>40</v>
      </c>
      <c r="H47" s="43" t="s">
        <v>40</v>
      </c>
      <c r="I47" s="44" t="s">
        <v>226</v>
      </c>
      <c r="J47" s="44" t="s">
        <v>227</v>
      </c>
      <c r="K47" s="43" t="s">
        <v>228</v>
      </c>
      <c r="L47" s="41">
        <v>26</v>
      </c>
      <c r="M47" s="41" t="s">
        <v>38</v>
      </c>
      <c r="N47" s="41" t="s">
        <v>98</v>
      </c>
      <c r="O47" s="45">
        <v>4780230</v>
      </c>
      <c r="P47" s="46">
        <v>45611</v>
      </c>
      <c r="Q47" s="49"/>
      <c r="R47" s="48" t="s">
        <v>44</v>
      </c>
      <c r="S47" s="48"/>
      <c r="T47" s="53"/>
      <c r="U47" s="54"/>
      <c r="V47" s="49"/>
      <c r="W47" s="49"/>
      <c r="X47" s="50" t="s">
        <v>38</v>
      </c>
      <c r="Y47" s="50" t="s">
        <v>38</v>
      </c>
      <c r="Z47" s="50" t="s">
        <v>38</v>
      </c>
      <c r="AA47" s="51"/>
      <c r="AB47" s="51"/>
    </row>
    <row r="48" spans="1:28" ht="50" x14ac:dyDescent="0.25">
      <c r="A48" s="41" t="s">
        <v>36</v>
      </c>
      <c r="B48" s="41" t="s">
        <v>37</v>
      </c>
      <c r="C48" s="41"/>
      <c r="D48" s="42">
        <v>45601</v>
      </c>
      <c r="E48" s="41" t="s">
        <v>38</v>
      </c>
      <c r="F48" s="41" t="s">
        <v>48</v>
      </c>
      <c r="G48" s="41" t="s">
        <v>76</v>
      </c>
      <c r="H48" s="43" t="s">
        <v>77</v>
      </c>
      <c r="I48" s="44" t="s">
        <v>229</v>
      </c>
      <c r="J48" s="44" t="s">
        <v>230</v>
      </c>
      <c r="K48" s="43" t="s">
        <v>231</v>
      </c>
      <c r="L48" s="41" t="s">
        <v>38</v>
      </c>
      <c r="M48" s="41" t="s">
        <v>38</v>
      </c>
      <c r="N48" s="41" t="s">
        <v>43</v>
      </c>
      <c r="O48" s="45"/>
      <c r="P48" s="46"/>
      <c r="Q48" s="49"/>
      <c r="R48" s="48" t="s">
        <v>44</v>
      </c>
      <c r="S48" s="48"/>
      <c r="T48" s="53"/>
      <c r="U48" s="54"/>
      <c r="V48" s="49"/>
      <c r="W48" s="49"/>
      <c r="X48" s="50" t="s">
        <v>38</v>
      </c>
      <c r="Y48" s="50" t="s">
        <v>38</v>
      </c>
      <c r="Z48" s="50" t="s">
        <v>38</v>
      </c>
      <c r="AA48" s="51"/>
      <c r="AB48" s="51"/>
    </row>
    <row r="49" spans="1:28" ht="25" x14ac:dyDescent="0.25">
      <c r="A49" s="41" t="s">
        <v>36</v>
      </c>
      <c r="B49" s="41" t="s">
        <v>37</v>
      </c>
      <c r="C49" s="41"/>
      <c r="D49" s="42">
        <v>45602</v>
      </c>
      <c r="E49" s="41" t="s">
        <v>38</v>
      </c>
      <c r="F49" s="41" t="s">
        <v>232</v>
      </c>
      <c r="G49" s="41" t="s">
        <v>49</v>
      </c>
      <c r="H49" s="41" t="s">
        <v>50</v>
      </c>
      <c r="I49" s="44" t="s">
        <v>175</v>
      </c>
      <c r="J49" s="44"/>
      <c r="K49" s="43" t="s">
        <v>94</v>
      </c>
      <c r="L49" s="41">
        <v>362</v>
      </c>
      <c r="M49" s="41" t="s">
        <v>38</v>
      </c>
      <c r="N49" s="41" t="s">
        <v>98</v>
      </c>
      <c r="O49" s="45">
        <v>1656761</v>
      </c>
      <c r="P49" s="46">
        <v>45603</v>
      </c>
      <c r="Q49" s="49"/>
      <c r="R49" s="48" t="s">
        <v>44</v>
      </c>
      <c r="S49" s="48" t="s">
        <v>233</v>
      </c>
      <c r="T49" s="53" t="s">
        <v>46</v>
      </c>
      <c r="U49" s="54"/>
      <c r="V49" s="49"/>
      <c r="W49" s="49"/>
      <c r="X49" s="50" t="s">
        <v>38</v>
      </c>
      <c r="Y49" s="50" t="s">
        <v>38</v>
      </c>
      <c r="Z49" s="50" t="s">
        <v>38</v>
      </c>
      <c r="AA49" s="51"/>
      <c r="AB49" s="51"/>
    </row>
    <row r="50" spans="1:28" ht="62.5" x14ac:dyDescent="0.25">
      <c r="A50" s="41" t="s">
        <v>36</v>
      </c>
      <c r="B50" s="41" t="s">
        <v>37</v>
      </c>
      <c r="C50" s="41"/>
      <c r="D50" s="42">
        <v>45602</v>
      </c>
      <c r="E50" s="41">
        <v>40</v>
      </c>
      <c r="F50" s="41" t="s">
        <v>69</v>
      </c>
      <c r="G50" s="41" t="s">
        <v>70</v>
      </c>
      <c r="H50" s="43" t="s">
        <v>71</v>
      </c>
      <c r="I50" s="44" t="s">
        <v>234</v>
      </c>
      <c r="J50" s="44" t="s">
        <v>235</v>
      </c>
      <c r="K50" s="43" t="s">
        <v>236</v>
      </c>
      <c r="L50" s="41">
        <v>506</v>
      </c>
      <c r="M50" s="41" t="s">
        <v>38</v>
      </c>
      <c r="N50" s="41" t="s">
        <v>43</v>
      </c>
      <c r="O50" s="45">
        <v>360000</v>
      </c>
      <c r="P50" s="46">
        <v>45603</v>
      </c>
      <c r="Q50" s="49"/>
      <c r="R50" s="48" t="s">
        <v>44</v>
      </c>
      <c r="S50" s="48" t="s">
        <v>237</v>
      </c>
      <c r="T50" s="53" t="s">
        <v>54</v>
      </c>
      <c r="U50" s="54"/>
      <c r="V50" s="49"/>
      <c r="W50" s="49"/>
      <c r="X50" s="50" t="s">
        <v>38</v>
      </c>
      <c r="Y50" s="50" t="s">
        <v>38</v>
      </c>
      <c r="Z50" s="50" t="s">
        <v>38</v>
      </c>
      <c r="AA50" s="51"/>
      <c r="AB50" s="51"/>
    </row>
    <row r="51" spans="1:28" ht="37.5" x14ac:dyDescent="0.25">
      <c r="A51" s="41" t="s">
        <v>36</v>
      </c>
      <c r="B51" s="41" t="s">
        <v>37</v>
      </c>
      <c r="C51" s="41"/>
      <c r="D51" s="42">
        <v>45602</v>
      </c>
      <c r="E51" s="41" t="s">
        <v>38</v>
      </c>
      <c r="F51" s="41" t="s">
        <v>232</v>
      </c>
      <c r="G51" s="41" t="s">
        <v>49</v>
      </c>
      <c r="H51" s="41" t="s">
        <v>50</v>
      </c>
      <c r="I51" s="44" t="s">
        <v>238</v>
      </c>
      <c r="J51" s="44" t="s">
        <v>239</v>
      </c>
      <c r="K51" s="43" t="s">
        <v>240</v>
      </c>
      <c r="L51" s="41"/>
      <c r="M51" s="41"/>
      <c r="N51" s="41" t="s">
        <v>43</v>
      </c>
      <c r="O51" s="45"/>
      <c r="P51" s="46"/>
      <c r="Q51" s="49"/>
      <c r="R51" s="48" t="s">
        <v>44</v>
      </c>
      <c r="S51" s="48"/>
      <c r="T51" s="53"/>
      <c r="U51" s="54"/>
      <c r="V51" s="49"/>
      <c r="W51" s="49"/>
      <c r="X51" s="50" t="s">
        <v>38</v>
      </c>
      <c r="Y51" s="50" t="s">
        <v>38</v>
      </c>
      <c r="Z51" s="50" t="s">
        <v>38</v>
      </c>
      <c r="AA51" s="51"/>
      <c r="AB51" s="51"/>
    </row>
    <row r="52" spans="1:28" ht="50" x14ac:dyDescent="0.25">
      <c r="A52" s="41" t="s">
        <v>36</v>
      </c>
      <c r="B52" s="41" t="s">
        <v>37</v>
      </c>
      <c r="C52" s="41"/>
      <c r="D52" s="42">
        <v>45602</v>
      </c>
      <c r="E52" s="41" t="s">
        <v>38</v>
      </c>
      <c r="F52" s="41" t="s">
        <v>89</v>
      </c>
      <c r="G52" s="41" t="s">
        <v>40</v>
      </c>
      <c r="H52" s="43" t="s">
        <v>91</v>
      </c>
      <c r="I52" s="44" t="s">
        <v>241</v>
      </c>
      <c r="J52" s="44" t="s">
        <v>242</v>
      </c>
      <c r="K52" s="43" t="s">
        <v>243</v>
      </c>
      <c r="L52" s="41" t="s">
        <v>38</v>
      </c>
      <c r="M52" s="41">
        <v>190</v>
      </c>
      <c r="N52" s="41" t="s">
        <v>98</v>
      </c>
      <c r="O52" s="45">
        <v>13000</v>
      </c>
      <c r="P52" s="46">
        <v>45602</v>
      </c>
      <c r="Q52" s="49"/>
      <c r="R52" s="48" t="s">
        <v>44</v>
      </c>
      <c r="S52" s="48" t="s">
        <v>244</v>
      </c>
      <c r="T52" s="53" t="s">
        <v>38</v>
      </c>
      <c r="U52" s="54"/>
      <c r="V52" s="49"/>
      <c r="W52" s="49"/>
      <c r="X52" s="50" t="s">
        <v>38</v>
      </c>
      <c r="Y52" s="50" t="s">
        <v>38</v>
      </c>
      <c r="Z52" s="50" t="s">
        <v>38</v>
      </c>
      <c r="AA52" s="51"/>
      <c r="AB52" s="51"/>
    </row>
    <row r="53" spans="1:28" ht="25" x14ac:dyDescent="0.25">
      <c r="A53" s="41" t="s">
        <v>36</v>
      </c>
      <c r="B53" s="41" t="s">
        <v>37</v>
      </c>
      <c r="C53" s="41"/>
      <c r="D53" s="42">
        <v>45602</v>
      </c>
      <c r="E53" s="41">
        <v>400529</v>
      </c>
      <c r="F53" s="41" t="s">
        <v>154</v>
      </c>
      <c r="G53" s="41" t="s">
        <v>49</v>
      </c>
      <c r="H53" s="41" t="s">
        <v>50</v>
      </c>
      <c r="I53" s="44" t="s">
        <v>245</v>
      </c>
      <c r="J53" s="44" t="s">
        <v>246</v>
      </c>
      <c r="K53" s="43" t="s">
        <v>247</v>
      </c>
      <c r="L53" s="41">
        <v>361</v>
      </c>
      <c r="M53" s="41" t="s">
        <v>38</v>
      </c>
      <c r="N53" s="41" t="s">
        <v>43</v>
      </c>
      <c r="O53" s="45">
        <v>267785</v>
      </c>
      <c r="P53" s="46">
        <v>45602</v>
      </c>
      <c r="Q53" s="49"/>
      <c r="R53" s="48" t="s">
        <v>44</v>
      </c>
      <c r="S53" s="48" t="s">
        <v>248</v>
      </c>
      <c r="T53" s="53" t="s">
        <v>54</v>
      </c>
      <c r="U53" s="54"/>
      <c r="V53" s="49"/>
      <c r="W53" s="49"/>
      <c r="X53" s="50" t="s">
        <v>38</v>
      </c>
      <c r="Y53" s="50" t="s">
        <v>38</v>
      </c>
      <c r="Z53" s="50" t="s">
        <v>38</v>
      </c>
      <c r="AA53" s="51"/>
      <c r="AB53" s="51"/>
    </row>
    <row r="54" spans="1:28" ht="25" x14ac:dyDescent="0.25">
      <c r="A54" s="41" t="s">
        <v>36</v>
      </c>
      <c r="B54" s="41" t="s">
        <v>37</v>
      </c>
      <c r="C54" s="41"/>
      <c r="D54" s="42">
        <v>45602</v>
      </c>
      <c r="E54" s="41">
        <v>102385</v>
      </c>
      <c r="F54" s="41" t="s">
        <v>161</v>
      </c>
      <c r="G54" s="41" t="s">
        <v>90</v>
      </c>
      <c r="H54" s="43" t="s">
        <v>91</v>
      </c>
      <c r="I54" s="44" t="s">
        <v>249</v>
      </c>
      <c r="J54" s="44"/>
      <c r="K54" s="43"/>
      <c r="L54" s="41"/>
      <c r="M54" s="41"/>
      <c r="N54" s="41"/>
      <c r="O54" s="45"/>
      <c r="P54" s="46"/>
      <c r="Q54" s="49"/>
      <c r="R54" s="48" t="s">
        <v>44</v>
      </c>
      <c r="S54" s="48"/>
      <c r="T54" s="53"/>
      <c r="U54" s="54"/>
      <c r="V54" s="49"/>
      <c r="W54" s="49"/>
      <c r="X54" s="50" t="s">
        <v>38</v>
      </c>
      <c r="Y54" s="50" t="s">
        <v>38</v>
      </c>
      <c r="Z54" s="50" t="s">
        <v>38</v>
      </c>
      <c r="AA54" s="51"/>
      <c r="AB54" s="51"/>
    </row>
    <row r="55" spans="1:28" ht="25" x14ac:dyDescent="0.25">
      <c r="A55" s="41" t="s">
        <v>36</v>
      </c>
      <c r="B55" s="41" t="s">
        <v>37</v>
      </c>
      <c r="C55" s="41"/>
      <c r="D55" s="42">
        <v>45602</v>
      </c>
      <c r="E55" s="41">
        <v>202418</v>
      </c>
      <c r="F55" s="41" t="s">
        <v>161</v>
      </c>
      <c r="G55" s="41" t="s">
        <v>90</v>
      </c>
      <c r="H55" s="43" t="s">
        <v>91</v>
      </c>
      <c r="I55" s="44" t="s">
        <v>249</v>
      </c>
      <c r="J55" s="44"/>
      <c r="K55" s="43"/>
      <c r="L55" s="41"/>
      <c r="M55" s="41"/>
      <c r="N55" s="41"/>
      <c r="O55" s="45"/>
      <c r="P55" s="46"/>
      <c r="Q55" s="49"/>
      <c r="R55" s="48" t="s">
        <v>44</v>
      </c>
      <c r="S55" s="48"/>
      <c r="T55" s="53"/>
      <c r="U55" s="54"/>
      <c r="V55" s="49"/>
      <c r="W55" s="49"/>
      <c r="X55" s="50" t="s">
        <v>38</v>
      </c>
      <c r="Y55" s="50" t="s">
        <v>38</v>
      </c>
      <c r="Z55" s="50" t="s">
        <v>38</v>
      </c>
      <c r="AA55" s="51"/>
      <c r="AB55" s="51"/>
    </row>
    <row r="56" spans="1:28" ht="25" x14ac:dyDescent="0.25">
      <c r="A56" s="41" t="s">
        <v>36</v>
      </c>
      <c r="B56" s="41" t="s">
        <v>37</v>
      </c>
      <c r="C56" s="41"/>
      <c r="D56" s="42">
        <v>45602</v>
      </c>
      <c r="E56" s="41">
        <v>400343</v>
      </c>
      <c r="F56" s="41" t="s">
        <v>161</v>
      </c>
      <c r="G56" s="41" t="s">
        <v>63</v>
      </c>
      <c r="H56" s="43" t="s">
        <v>64</v>
      </c>
      <c r="I56" s="44" t="s">
        <v>250</v>
      </c>
      <c r="J56" s="44"/>
      <c r="K56" s="43"/>
      <c r="L56" s="41"/>
      <c r="M56" s="41"/>
      <c r="N56" s="41"/>
      <c r="O56" s="45"/>
      <c r="P56" s="46"/>
      <c r="Q56" s="49"/>
      <c r="R56" s="48" t="s">
        <v>44</v>
      </c>
      <c r="S56" s="48"/>
      <c r="T56" s="53"/>
      <c r="U56" s="54"/>
      <c r="V56" s="49"/>
      <c r="W56" s="49"/>
      <c r="X56" s="50" t="s">
        <v>38</v>
      </c>
      <c r="Y56" s="50" t="s">
        <v>38</v>
      </c>
      <c r="Z56" s="50" t="s">
        <v>38</v>
      </c>
      <c r="AA56" s="51"/>
      <c r="AB56" s="51"/>
    </row>
    <row r="57" spans="1:28" ht="25" x14ac:dyDescent="0.25">
      <c r="A57" s="41" t="s">
        <v>36</v>
      </c>
      <c r="B57" s="41" t="s">
        <v>37</v>
      </c>
      <c r="C57" s="41"/>
      <c r="D57" s="42">
        <v>45602</v>
      </c>
      <c r="E57" s="41">
        <v>400342</v>
      </c>
      <c r="F57" s="41" t="s">
        <v>161</v>
      </c>
      <c r="G57" s="41" t="s">
        <v>63</v>
      </c>
      <c r="H57" s="43" t="s">
        <v>64</v>
      </c>
      <c r="I57" s="44" t="s">
        <v>249</v>
      </c>
      <c r="J57" s="44"/>
      <c r="K57" s="43"/>
      <c r="L57" s="41"/>
      <c r="M57" s="41"/>
      <c r="N57" s="41"/>
      <c r="O57" s="45"/>
      <c r="P57" s="46"/>
      <c r="Q57" s="49"/>
      <c r="R57" s="48" t="s">
        <v>44</v>
      </c>
      <c r="S57" s="48"/>
      <c r="T57" s="53"/>
      <c r="U57" s="54"/>
      <c r="V57" s="49"/>
      <c r="W57" s="49"/>
      <c r="X57" s="50" t="s">
        <v>38</v>
      </c>
      <c r="Y57" s="50" t="s">
        <v>38</v>
      </c>
      <c r="Z57" s="50" t="s">
        <v>38</v>
      </c>
      <c r="AA57" s="51"/>
      <c r="AB57" s="51"/>
    </row>
    <row r="58" spans="1:28" ht="25" x14ac:dyDescent="0.25">
      <c r="A58" s="41" t="s">
        <v>36</v>
      </c>
      <c r="B58" s="41" t="s">
        <v>37</v>
      </c>
      <c r="C58" s="41"/>
      <c r="D58" s="42">
        <v>45602</v>
      </c>
      <c r="E58" s="41" t="s">
        <v>38</v>
      </c>
      <c r="F58" s="41" t="s">
        <v>123</v>
      </c>
      <c r="G58" s="41" t="s">
        <v>106</v>
      </c>
      <c r="H58" s="43" t="s">
        <v>107</v>
      </c>
      <c r="I58" s="44" t="s">
        <v>175</v>
      </c>
      <c r="J58" s="44" t="s">
        <v>251</v>
      </c>
      <c r="K58" s="43" t="s">
        <v>94</v>
      </c>
      <c r="L58" s="41">
        <v>83</v>
      </c>
      <c r="M58" s="41" t="s">
        <v>38</v>
      </c>
      <c r="N58" s="41" t="s">
        <v>43</v>
      </c>
      <c r="O58" s="45">
        <v>21686122</v>
      </c>
      <c r="P58" s="46">
        <v>45608</v>
      </c>
      <c r="Q58" s="49"/>
      <c r="R58" s="48" t="s">
        <v>44</v>
      </c>
      <c r="S58" s="48" t="s">
        <v>252</v>
      </c>
      <c r="T58" s="53" t="s">
        <v>46</v>
      </c>
      <c r="U58" s="53" t="s">
        <v>253</v>
      </c>
      <c r="V58" s="49"/>
      <c r="W58" s="49">
        <v>45676</v>
      </c>
      <c r="X58" s="50" t="s">
        <v>38</v>
      </c>
      <c r="Y58" s="50" t="s">
        <v>38</v>
      </c>
      <c r="Z58" s="50" t="s">
        <v>38</v>
      </c>
      <c r="AA58" s="51"/>
      <c r="AB58" s="51"/>
    </row>
    <row r="59" spans="1:28" ht="37.5" x14ac:dyDescent="0.25">
      <c r="A59" s="41" t="s">
        <v>36</v>
      </c>
      <c r="B59" s="41" t="s">
        <v>37</v>
      </c>
      <c r="C59" s="41"/>
      <c r="D59" s="42">
        <v>45602</v>
      </c>
      <c r="E59" s="41">
        <v>34</v>
      </c>
      <c r="F59" s="41" t="s">
        <v>123</v>
      </c>
      <c r="G59" s="41" t="s">
        <v>106</v>
      </c>
      <c r="H59" s="43" t="s">
        <v>107</v>
      </c>
      <c r="I59" s="43" t="s">
        <v>254</v>
      </c>
      <c r="J59" s="44" t="s">
        <v>255</v>
      </c>
      <c r="K59" s="43" t="s">
        <v>256</v>
      </c>
      <c r="L59" s="41">
        <v>81</v>
      </c>
      <c r="M59" s="41" t="s">
        <v>38</v>
      </c>
      <c r="N59" s="41" t="s">
        <v>43</v>
      </c>
      <c r="O59" s="45">
        <v>52024291</v>
      </c>
      <c r="P59" s="46">
        <v>45604</v>
      </c>
      <c r="Q59" s="49"/>
      <c r="R59" s="48" t="s">
        <v>44</v>
      </c>
      <c r="S59" s="48"/>
      <c r="T59" s="53" t="s">
        <v>54</v>
      </c>
      <c r="U59" s="55"/>
      <c r="V59" s="49"/>
      <c r="W59" s="56"/>
      <c r="X59" s="57" t="s">
        <v>46</v>
      </c>
      <c r="Y59" s="57" t="s">
        <v>38</v>
      </c>
      <c r="Z59" s="57" t="s">
        <v>38</v>
      </c>
      <c r="AA59" s="51"/>
      <c r="AB59" s="51"/>
    </row>
  </sheetData>
  <customSheetViews>
    <customSheetView guid="{2EAB88F3-12C3-4DA2-A005-91ADFF977F96}" filter="1" showAutoFilter="1">
      <pageMargins left="0.7" right="0.7" top="0.75" bottom="0.75" header="0.3" footer="0.3"/>
      <autoFilter ref="A3:Z815" xr:uid="{33EBF23A-E672-40AF-B15D-EF3411BED542}"/>
      <extLst>
        <ext uri="GoogleSheetsCustomDataVersion1">
          <go:sheetsCustomData xmlns:go="http://customooxmlschemas.google.com/" filterViewId="808707857"/>
        </ext>
      </extLst>
    </customSheetView>
    <customSheetView guid="{71C1906B-8171-4A0C-B860-4CEDBA534E37}" filter="1" showAutoFilter="1">
      <pageMargins left="0.7" right="0.7" top="0.75" bottom="0.75" header="0.3" footer="0.3"/>
      <autoFilter ref="A1" xr:uid="{CC04FAD5-5CAD-42FC-B32A-AFC115027A07}"/>
      <extLst>
        <ext uri="GoogleSheetsCustomDataVersion1">
          <go:sheetsCustomData xmlns:go="http://customooxmlschemas.google.com/" filterViewId="2121363909"/>
        </ext>
      </extLst>
    </customSheetView>
    <customSheetView guid="{5E33247B-C249-4B1A-ADB5-D826C6EAD120}" filter="1" showAutoFilter="1">
      <pageMargins left="0.7" right="0.7" top="0.75" bottom="0.75" header="0.3" footer="0.3"/>
      <autoFilter ref="A3:AB1239" xr:uid="{6DD126F8-1DEE-4B90-BAF4-A70748AD2713}"/>
      <extLst>
        <ext uri="GoogleSheetsCustomDataVersion1">
          <go:sheetsCustomData xmlns:go="http://customooxmlschemas.google.com/" filterViewId="1599716121"/>
        </ext>
      </extLst>
    </customSheetView>
    <customSheetView guid="{E12B6CF8-FD27-4BD5-9211-8FC3AA5BD8F3}" filter="1" showAutoFilter="1">
      <pageMargins left="0.7" right="0.7" top="0.75" bottom="0.75" header="0.3" footer="0.3"/>
      <autoFilter ref="A1:AB1034" xr:uid="{1DFA3BEC-A914-4DF0-B195-F8C5FC0CDAA4}"/>
      <extLst>
        <ext uri="GoogleSheetsCustomDataVersion1">
          <go:sheetsCustomData xmlns:go="http://customooxmlschemas.google.com/" filterViewId="1579322221"/>
        </ext>
      </extLst>
    </customSheetView>
  </customSheetViews>
  <mergeCells count="5">
    <mergeCell ref="X1:AA1"/>
    <mergeCell ref="D2:I2"/>
    <mergeCell ref="J2:P2"/>
    <mergeCell ref="S2:U2"/>
    <mergeCell ref="X2:AA2"/>
  </mergeCells>
  <conditionalFormatting sqref="A1:A59">
    <cfRule type="cellIs" dxfId="7" priority="1" operator="equal">
      <formula>"ABIERTO"</formula>
    </cfRule>
  </conditionalFormatting>
  <conditionalFormatting sqref="A1:A59">
    <cfRule type="cellIs" dxfId="6" priority="2" operator="equal">
      <formula>"CERRADO"</formula>
    </cfRule>
  </conditionalFormatting>
  <conditionalFormatting sqref="B3:B59">
    <cfRule type="cellIs" dxfId="5" priority="3" operator="equal">
      <formula>"COMPRAS"</formula>
    </cfRule>
  </conditionalFormatting>
  <conditionalFormatting sqref="B3:B59">
    <cfRule type="cellIs" dxfId="4" priority="4" operator="equal">
      <formula>"PROCESOS "</formula>
    </cfRule>
  </conditionalFormatting>
  <conditionalFormatting sqref="B3:B59">
    <cfRule type="cellIs" dxfId="3" priority="5" operator="equal">
      <formula>"CONTRATOS "</formula>
    </cfRule>
  </conditionalFormatting>
  <conditionalFormatting sqref="T3:T59">
    <cfRule type="notContainsBlanks" dxfId="2" priority="6">
      <formula>LEN(TRIM(T3))&gt;0</formula>
    </cfRule>
  </conditionalFormatting>
  <conditionalFormatting sqref="A1:A59">
    <cfRule type="cellIs" dxfId="1" priority="7" operator="equal">
      <formula>"PTE PAGO"</formula>
    </cfRule>
  </conditionalFormatting>
  <conditionalFormatting sqref="A1:A59">
    <cfRule type="cellIs" dxfId="0" priority="8" operator="equal">
      <formula>"PTE ENTREGA"</formula>
    </cfRule>
  </conditionalFormatting>
  <dataValidations count="7">
    <dataValidation type="list" allowBlank="1" showErrorMessage="1" sqref="N4:N59" xr:uid="{00000000-0002-0000-0000-000001000000}">
      <formula1>"CREDITO ,CONTADO,ANTICIPO,NA"</formula1>
    </dataValidation>
    <dataValidation type="list" allowBlank="1" showErrorMessage="1" sqref="B4:B59" xr:uid="{00000000-0002-0000-0000-000003000000}">
      <formula1>"COMPRAS,ORDEN MADRE ,PROCESOS ,SERVICIOS ,ANTICIPOS,CONTRATO "</formula1>
    </dataValidation>
    <dataValidation type="list" allowBlank="1" showErrorMessage="1" sqref="X4:Z4 X6:Z59" xr:uid="{00000000-0002-0000-0000-000004000000}">
      <formula1>"SI,NO,NA,PARCIAL ,PARCIAL "</formula1>
    </dataValidation>
    <dataValidation type="list" allowBlank="1" showErrorMessage="1" sqref="A4:A59" xr:uid="{00000000-0002-0000-0000-000000000000}">
      <formula1>"ABIERTO,CERRADO,PTE PAGO,PTE ENTREGA,PTE FACTURA ,ANULADO ,PTE DE CERTIFICADOS ,PTE DE APROBACION "</formula1>
    </dataValidation>
    <dataValidation type="list" allowBlank="1" showErrorMessage="1" sqref="T4:T59" xr:uid="{00000000-0002-0000-0000-000002000000}">
      <formula1>"SI,NO,PARCIAL ,NA"</formula1>
    </dataValidation>
    <dataValidation type="list" allowBlank="1" showErrorMessage="1" sqref="C4:C59" xr:uid="{00000000-0002-0000-0000-000006000000}">
      <formula1>"URGENCIA ,PROGRMADA ,PLAN DE COMPRA"</formula1>
    </dataValidation>
    <dataValidation type="list" allowBlank="1" showErrorMessage="1" sqref="G4:G59" xr:uid="{00000000-0002-0000-0000-000007000000}">
      <formula1>"PAVICONSTRUJC,EDUBAR-KRA50,PARQUES DE BOLIVAR,TACASUAN ,CONSORCIO VIVIENDAS,CORDOBA ,CONTECSA-ADMINISTRATIVO,PTAR-JUAN DE ACOSTA,PTAR-SANTO TOMAS,JMD,HIDROGUAJIRA ,COLEGIO GRUPO 2,COLEGIO GRUPO 5,CONSORCIO VIAL DE SUCRE,MOMPOX 21,CONTECSA- MAQUINARIA,CONT"&amp;"ECSA-CORDOBA,CONTECSA-MALLA VIAL CTG,CONTECSA-SANTO TOMAS,CONTECSA-VIVIENDAS,CONTECSA-VIPAR,CONTECSA- EDUBAR KRA 50,CONTECSA-OPERATIVO,CONSORCIO VIPAR,NA,CODAZZI,CONSORCIO REDES CCC,CONSORCIO ATL,CONTECSA- REDES CCC,CONTECSA - ATL "</formula1>
    </dataValidation>
  </dataValidations>
  <hyperlinks>
    <hyperlink ref="X1" r:id="rId1" xr:uid="{00000000-0004-0000-0000-000000000000}"/>
    <hyperlink ref="AB1" r:id="rId2" xr:uid="{00000000-0004-0000-0000-000001000000}"/>
    <hyperlink ref="X2" r:id="rId3" xr:uid="{00000000-0004-0000-0000-000002000000}"/>
    <hyperlink ref="AB2" r:id="rId4" xr:uid="{00000000-0004-0000-0000-000003000000}"/>
  </hyperlinks>
  <pageMargins left="0.7" right="0.7" top="0.75" bottom="0.75" header="0" footer="0"/>
  <pageSetup orientation="landscape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H1000"/>
  <sheetViews>
    <sheetView workbookViewId="0"/>
  </sheetViews>
  <sheetFormatPr baseColWidth="10" defaultColWidth="12.6328125" defaultRowHeight="15" customHeight="1" x14ac:dyDescent="0.25"/>
  <cols>
    <col min="1" max="1" width="7.7265625" customWidth="1"/>
    <col min="2" max="2" width="47" customWidth="1"/>
    <col min="3" max="3" width="13.453125" customWidth="1"/>
    <col min="4" max="4" width="73.26953125" customWidth="1"/>
    <col min="5" max="5" width="41.36328125" customWidth="1"/>
    <col min="6" max="6" width="31.6328125" customWidth="1"/>
    <col min="7" max="7" width="21.26953125" customWidth="1"/>
  </cols>
  <sheetData>
    <row r="1" spans="2:8" ht="15" customHeight="1" x14ac:dyDescent="0.25">
      <c r="B1" s="62"/>
      <c r="D1" s="62"/>
    </row>
    <row r="2" spans="2:8" ht="15" customHeight="1" x14ac:dyDescent="0.25">
      <c r="B2" s="62"/>
      <c r="D2" s="62"/>
    </row>
    <row r="3" spans="2:8" ht="15" customHeight="1" x14ac:dyDescent="0.25">
      <c r="B3" s="62"/>
      <c r="D3" s="62"/>
    </row>
    <row r="4" spans="2:8" ht="15" customHeight="1" x14ac:dyDescent="0.25">
      <c r="B4" s="62"/>
      <c r="D4" s="62"/>
    </row>
    <row r="5" spans="2:8" ht="15" customHeight="1" x14ac:dyDescent="0.45">
      <c r="B5" s="63" t="s">
        <v>264</v>
      </c>
      <c r="C5" s="64" t="s">
        <v>265</v>
      </c>
      <c r="D5" s="65" t="s">
        <v>266</v>
      </c>
      <c r="E5" s="66" t="s">
        <v>267</v>
      </c>
      <c r="F5" s="60"/>
      <c r="G5" s="60"/>
    </row>
    <row r="6" spans="2:8" ht="15" customHeight="1" x14ac:dyDescent="0.45">
      <c r="B6" s="67" t="s">
        <v>268</v>
      </c>
      <c r="C6" s="68" t="s">
        <v>269</v>
      </c>
      <c r="D6" s="69" t="s">
        <v>270</v>
      </c>
      <c r="E6" s="60"/>
      <c r="F6" s="60"/>
      <c r="G6" s="60"/>
    </row>
    <row r="7" spans="2:8" ht="15" customHeight="1" x14ac:dyDescent="0.45">
      <c r="B7" s="67" t="s">
        <v>271</v>
      </c>
      <c r="C7" s="68" t="s">
        <v>272</v>
      </c>
      <c r="D7" s="69" t="s">
        <v>273</v>
      </c>
      <c r="E7" s="60"/>
      <c r="F7" s="60"/>
      <c r="G7" s="60"/>
    </row>
    <row r="8" spans="2:8" ht="15" customHeight="1" x14ac:dyDescent="0.45">
      <c r="B8" s="67" t="s">
        <v>274</v>
      </c>
      <c r="C8" s="68" t="s">
        <v>275</v>
      </c>
      <c r="D8" s="69" t="s">
        <v>276</v>
      </c>
      <c r="E8" s="60"/>
      <c r="F8" s="60"/>
      <c r="G8" s="60"/>
    </row>
    <row r="9" spans="2:8" ht="15" customHeight="1" x14ac:dyDescent="0.45">
      <c r="B9" s="67" t="s">
        <v>277</v>
      </c>
      <c r="C9" s="68" t="s">
        <v>278</v>
      </c>
      <c r="D9" s="69" t="s">
        <v>279</v>
      </c>
      <c r="E9" s="60"/>
      <c r="F9" s="60"/>
      <c r="G9" s="60"/>
    </row>
    <row r="10" spans="2:8" ht="15" customHeight="1" x14ac:dyDescent="0.45">
      <c r="B10" s="67" t="s">
        <v>280</v>
      </c>
      <c r="C10" s="68" t="s">
        <v>281</v>
      </c>
      <c r="D10" s="69" t="s">
        <v>282</v>
      </c>
      <c r="E10" s="58" t="s">
        <v>283</v>
      </c>
      <c r="F10" s="70" t="s">
        <v>284</v>
      </c>
      <c r="G10" s="60"/>
    </row>
    <row r="11" spans="2:8" ht="15" customHeight="1" x14ac:dyDescent="0.45">
      <c r="B11" s="67" t="s">
        <v>285</v>
      </c>
      <c r="C11" s="68" t="s">
        <v>286</v>
      </c>
      <c r="D11" s="69" t="s">
        <v>287</v>
      </c>
      <c r="E11" s="60"/>
      <c r="F11" s="60"/>
      <c r="G11" s="60"/>
    </row>
    <row r="12" spans="2:8" ht="15" customHeight="1" x14ac:dyDescent="0.45">
      <c r="B12" s="67" t="s">
        <v>288</v>
      </c>
      <c r="C12" s="68" t="s">
        <v>289</v>
      </c>
      <c r="D12" s="69" t="s">
        <v>290</v>
      </c>
      <c r="E12" s="60"/>
      <c r="F12" s="60"/>
      <c r="G12" s="60"/>
    </row>
    <row r="13" spans="2:8" ht="15" customHeight="1" x14ac:dyDescent="0.45">
      <c r="B13" s="67" t="s">
        <v>291</v>
      </c>
      <c r="C13" s="68" t="s">
        <v>292</v>
      </c>
      <c r="D13" s="69" t="s">
        <v>287</v>
      </c>
      <c r="E13" s="60"/>
      <c r="F13" s="60"/>
      <c r="G13" s="60"/>
    </row>
    <row r="14" spans="2:8" ht="15" customHeight="1" x14ac:dyDescent="0.45">
      <c r="B14" s="67" t="s">
        <v>293</v>
      </c>
      <c r="C14" s="68" t="s">
        <v>294</v>
      </c>
      <c r="D14" s="69" t="s">
        <v>295</v>
      </c>
      <c r="E14" s="60"/>
      <c r="F14" s="60"/>
      <c r="G14" s="60"/>
    </row>
    <row r="15" spans="2:8" ht="15" customHeight="1" x14ac:dyDescent="0.45">
      <c r="B15" s="71" t="s">
        <v>296</v>
      </c>
      <c r="C15" s="72" t="s">
        <v>297</v>
      </c>
      <c r="D15" s="71" t="s">
        <v>298</v>
      </c>
      <c r="E15" s="72" t="s">
        <v>299</v>
      </c>
      <c r="F15" s="70" t="s">
        <v>300</v>
      </c>
      <c r="G15" s="59" t="s">
        <v>301</v>
      </c>
      <c r="H15" s="73" t="s">
        <v>302</v>
      </c>
    </row>
    <row r="16" spans="2:8" ht="15" customHeight="1" x14ac:dyDescent="0.45">
      <c r="B16" s="71" t="s">
        <v>303</v>
      </c>
      <c r="C16" s="72" t="s">
        <v>304</v>
      </c>
      <c r="D16" s="71" t="s">
        <v>305</v>
      </c>
      <c r="E16" s="72" t="s">
        <v>306</v>
      </c>
      <c r="F16" s="60"/>
      <c r="G16" s="60"/>
    </row>
    <row r="17" spans="2:7" ht="15" customHeight="1" x14ac:dyDescent="0.45">
      <c r="B17" s="71" t="s">
        <v>307</v>
      </c>
      <c r="C17" s="72" t="s">
        <v>308</v>
      </c>
      <c r="D17" s="74" t="s">
        <v>309</v>
      </c>
      <c r="E17" s="59" t="s">
        <v>310</v>
      </c>
      <c r="F17" s="70" t="s">
        <v>311</v>
      </c>
      <c r="G17" s="59" t="s">
        <v>312</v>
      </c>
    </row>
    <row r="18" spans="2:7" ht="15" customHeight="1" x14ac:dyDescent="0.45">
      <c r="B18" s="75" t="s">
        <v>313</v>
      </c>
      <c r="C18" s="76" t="s">
        <v>314</v>
      </c>
      <c r="D18" s="77" t="s">
        <v>315</v>
      </c>
      <c r="E18" s="78"/>
    </row>
    <row r="19" spans="2:7" ht="15" customHeight="1" x14ac:dyDescent="0.45">
      <c r="B19" s="79"/>
      <c r="C19" s="78"/>
      <c r="D19" s="79"/>
      <c r="E19" s="78"/>
    </row>
    <row r="20" spans="2:7" ht="15" customHeight="1" x14ac:dyDescent="0.25">
      <c r="B20" s="62"/>
      <c r="D20" s="62"/>
    </row>
    <row r="21" spans="2:7" ht="15" customHeight="1" x14ac:dyDescent="0.25">
      <c r="B21" s="62"/>
      <c r="D21" s="62"/>
    </row>
    <row r="22" spans="2:7" ht="15" customHeight="1" x14ac:dyDescent="0.25">
      <c r="B22" s="62"/>
      <c r="D22" s="62"/>
    </row>
    <row r="23" spans="2:7" ht="15" customHeight="1" x14ac:dyDescent="0.25">
      <c r="B23" s="62"/>
      <c r="D23" s="62"/>
    </row>
    <row r="24" spans="2:7" ht="15" customHeight="1" x14ac:dyDescent="0.25">
      <c r="B24" s="62"/>
      <c r="D24" s="62"/>
    </row>
    <row r="25" spans="2:7" ht="15" customHeight="1" x14ac:dyDescent="0.25">
      <c r="B25" s="62"/>
      <c r="D25" s="62"/>
    </row>
    <row r="26" spans="2:7" ht="15" customHeight="1" x14ac:dyDescent="0.25">
      <c r="B26" s="62"/>
      <c r="D26" s="62"/>
    </row>
    <row r="27" spans="2:7" ht="15" customHeight="1" x14ac:dyDescent="0.25">
      <c r="B27" s="62"/>
      <c r="D27" s="62"/>
    </row>
    <row r="28" spans="2:7" ht="15" customHeight="1" x14ac:dyDescent="0.25">
      <c r="B28" s="62"/>
      <c r="D28" s="62"/>
    </row>
    <row r="29" spans="2:7" ht="15" customHeight="1" x14ac:dyDescent="0.25">
      <c r="B29" s="62"/>
      <c r="D29" s="62"/>
    </row>
    <row r="30" spans="2:7" ht="15" customHeight="1" x14ac:dyDescent="0.25">
      <c r="B30" s="62"/>
      <c r="D30" s="62"/>
    </row>
    <row r="31" spans="2:7" ht="15" customHeight="1" x14ac:dyDescent="0.25">
      <c r="B31" s="62"/>
      <c r="D31" s="62"/>
    </row>
    <row r="32" spans="2:7" ht="15" customHeight="1" x14ac:dyDescent="0.25">
      <c r="B32" s="62"/>
      <c r="D32" s="62"/>
    </row>
    <row r="33" spans="2:4" ht="15" customHeight="1" x14ac:dyDescent="0.25">
      <c r="B33" s="62"/>
      <c r="D33" s="62"/>
    </row>
    <row r="34" spans="2:4" ht="15" customHeight="1" x14ac:dyDescent="0.25">
      <c r="B34" s="62"/>
      <c r="D34" s="62"/>
    </row>
    <row r="35" spans="2:4" ht="15" customHeight="1" x14ac:dyDescent="0.25">
      <c r="B35" s="62"/>
      <c r="D35" s="62"/>
    </row>
    <row r="36" spans="2:4" ht="15" customHeight="1" x14ac:dyDescent="0.25">
      <c r="B36" s="62"/>
      <c r="D36" s="62"/>
    </row>
    <row r="37" spans="2:4" ht="15" customHeight="1" x14ac:dyDescent="0.25">
      <c r="B37" s="62"/>
      <c r="D37" s="62"/>
    </row>
    <row r="38" spans="2:4" ht="15" customHeight="1" x14ac:dyDescent="0.25">
      <c r="B38" s="62"/>
      <c r="D38" s="62"/>
    </row>
    <row r="39" spans="2:4" ht="12.5" x14ac:dyDescent="0.25">
      <c r="B39" s="62"/>
      <c r="D39" s="62"/>
    </row>
    <row r="40" spans="2:4" ht="12.5" x14ac:dyDescent="0.25">
      <c r="B40" s="62"/>
      <c r="D40" s="62"/>
    </row>
    <row r="41" spans="2:4" ht="12.5" x14ac:dyDescent="0.25">
      <c r="B41" s="62"/>
      <c r="D41" s="62"/>
    </row>
    <row r="42" spans="2:4" ht="12.5" x14ac:dyDescent="0.25">
      <c r="B42" s="62"/>
      <c r="D42" s="62"/>
    </row>
    <row r="43" spans="2:4" ht="12.5" x14ac:dyDescent="0.25">
      <c r="B43" s="62"/>
      <c r="D43" s="62"/>
    </row>
    <row r="44" spans="2:4" ht="12.5" x14ac:dyDescent="0.25">
      <c r="B44" s="62"/>
      <c r="D44" s="62"/>
    </row>
    <row r="45" spans="2:4" ht="12.5" x14ac:dyDescent="0.25">
      <c r="B45" s="62"/>
      <c r="D45" s="62"/>
    </row>
    <row r="46" spans="2:4" ht="12.5" x14ac:dyDescent="0.25">
      <c r="B46" s="62"/>
      <c r="D46" s="62"/>
    </row>
    <row r="47" spans="2:4" ht="12.5" x14ac:dyDescent="0.25">
      <c r="B47" s="62"/>
      <c r="D47" s="62"/>
    </row>
    <row r="48" spans="2:4" ht="12.5" x14ac:dyDescent="0.25">
      <c r="B48" s="62"/>
      <c r="D48" s="62"/>
    </row>
    <row r="49" spans="2:4" ht="12.5" x14ac:dyDescent="0.25">
      <c r="B49" s="62"/>
      <c r="D49" s="62"/>
    </row>
    <row r="50" spans="2:4" ht="12.5" x14ac:dyDescent="0.25">
      <c r="B50" s="62"/>
      <c r="D50" s="62"/>
    </row>
    <row r="51" spans="2:4" ht="12.5" x14ac:dyDescent="0.25">
      <c r="B51" s="62"/>
      <c r="D51" s="62"/>
    </row>
    <row r="52" spans="2:4" ht="12.5" x14ac:dyDescent="0.25">
      <c r="B52" s="62"/>
      <c r="D52" s="62"/>
    </row>
    <row r="53" spans="2:4" ht="12.5" x14ac:dyDescent="0.25">
      <c r="B53" s="62"/>
      <c r="D53" s="62"/>
    </row>
    <row r="54" spans="2:4" ht="12.5" x14ac:dyDescent="0.25">
      <c r="B54" s="62"/>
      <c r="D54" s="62"/>
    </row>
    <row r="55" spans="2:4" ht="12.5" x14ac:dyDescent="0.25">
      <c r="B55" s="62"/>
      <c r="D55" s="62"/>
    </row>
    <row r="56" spans="2:4" ht="12.5" x14ac:dyDescent="0.25">
      <c r="B56" s="62"/>
      <c r="D56" s="62"/>
    </row>
    <row r="57" spans="2:4" ht="12.5" x14ac:dyDescent="0.25">
      <c r="B57" s="62"/>
      <c r="D57" s="62"/>
    </row>
    <row r="58" spans="2:4" ht="12.5" x14ac:dyDescent="0.25">
      <c r="B58" s="62"/>
      <c r="D58" s="62"/>
    </row>
    <row r="59" spans="2:4" ht="12.5" x14ac:dyDescent="0.25">
      <c r="B59" s="62"/>
      <c r="D59" s="62"/>
    </row>
    <row r="60" spans="2:4" ht="12.5" x14ac:dyDescent="0.25">
      <c r="B60" s="62"/>
      <c r="D60" s="62"/>
    </row>
    <row r="61" spans="2:4" ht="12.5" x14ac:dyDescent="0.25">
      <c r="B61" s="62"/>
      <c r="D61" s="62"/>
    </row>
    <row r="62" spans="2:4" ht="12.5" x14ac:dyDescent="0.25">
      <c r="B62" s="62"/>
      <c r="D62" s="62"/>
    </row>
    <row r="63" spans="2:4" ht="12.5" x14ac:dyDescent="0.25">
      <c r="B63" s="62"/>
      <c r="D63" s="62"/>
    </row>
    <row r="64" spans="2:4" ht="12.5" x14ac:dyDescent="0.25">
      <c r="B64" s="62"/>
      <c r="D64" s="62"/>
    </row>
    <row r="65" spans="2:4" ht="12.5" x14ac:dyDescent="0.25">
      <c r="B65" s="62"/>
      <c r="D65" s="62"/>
    </row>
    <row r="66" spans="2:4" ht="12.5" x14ac:dyDescent="0.25">
      <c r="B66" s="62"/>
      <c r="D66" s="62"/>
    </row>
    <row r="67" spans="2:4" ht="12.5" x14ac:dyDescent="0.25">
      <c r="B67" s="62"/>
      <c r="D67" s="62"/>
    </row>
    <row r="68" spans="2:4" ht="12.5" x14ac:dyDescent="0.25">
      <c r="B68" s="62"/>
      <c r="D68" s="62"/>
    </row>
    <row r="69" spans="2:4" ht="12.5" x14ac:dyDescent="0.25">
      <c r="B69" s="62"/>
      <c r="D69" s="62"/>
    </row>
    <row r="70" spans="2:4" ht="12.5" x14ac:dyDescent="0.25">
      <c r="B70" s="62"/>
      <c r="D70" s="62"/>
    </row>
    <row r="71" spans="2:4" ht="12.5" x14ac:dyDescent="0.25">
      <c r="B71" s="62"/>
      <c r="D71" s="62"/>
    </row>
    <row r="72" spans="2:4" ht="12.5" x14ac:dyDescent="0.25">
      <c r="B72" s="62"/>
      <c r="D72" s="62"/>
    </row>
    <row r="73" spans="2:4" ht="12.5" x14ac:dyDescent="0.25">
      <c r="B73" s="62"/>
      <c r="D73" s="62"/>
    </row>
    <row r="74" spans="2:4" ht="12.5" x14ac:dyDescent="0.25">
      <c r="B74" s="62"/>
      <c r="D74" s="62"/>
    </row>
    <row r="75" spans="2:4" ht="12.5" x14ac:dyDescent="0.25">
      <c r="B75" s="62"/>
      <c r="D75" s="62"/>
    </row>
    <row r="76" spans="2:4" ht="12.5" x14ac:dyDescent="0.25">
      <c r="B76" s="62"/>
      <c r="D76" s="62"/>
    </row>
    <row r="77" spans="2:4" ht="12.5" x14ac:dyDescent="0.25">
      <c r="B77" s="62"/>
      <c r="D77" s="62"/>
    </row>
    <row r="78" spans="2:4" ht="12.5" x14ac:dyDescent="0.25">
      <c r="B78" s="62"/>
      <c r="D78" s="62"/>
    </row>
    <row r="79" spans="2:4" ht="12.5" x14ac:dyDescent="0.25">
      <c r="B79" s="62"/>
      <c r="D79" s="62"/>
    </row>
    <row r="80" spans="2:4" ht="12.5" x14ac:dyDescent="0.25">
      <c r="B80" s="62"/>
      <c r="D80" s="62"/>
    </row>
    <row r="81" spans="2:4" ht="12.5" x14ac:dyDescent="0.25">
      <c r="B81" s="62"/>
      <c r="D81" s="62"/>
    </row>
    <row r="82" spans="2:4" ht="12.5" x14ac:dyDescent="0.25">
      <c r="B82" s="62"/>
      <c r="D82" s="62"/>
    </row>
    <row r="83" spans="2:4" ht="12.5" x14ac:dyDescent="0.25">
      <c r="B83" s="62"/>
      <c r="D83" s="62"/>
    </row>
    <row r="84" spans="2:4" ht="12.5" x14ac:dyDescent="0.25">
      <c r="B84" s="62"/>
      <c r="D84" s="62"/>
    </row>
    <row r="85" spans="2:4" ht="12.5" x14ac:dyDescent="0.25">
      <c r="B85" s="62"/>
      <c r="D85" s="62"/>
    </row>
    <row r="86" spans="2:4" ht="12.5" x14ac:dyDescent="0.25">
      <c r="B86" s="62"/>
      <c r="D86" s="62"/>
    </row>
    <row r="87" spans="2:4" ht="12.5" x14ac:dyDescent="0.25">
      <c r="B87" s="62"/>
      <c r="D87" s="62"/>
    </row>
    <row r="88" spans="2:4" ht="12.5" x14ac:dyDescent="0.25">
      <c r="B88" s="62"/>
      <c r="D88" s="62"/>
    </row>
    <row r="89" spans="2:4" ht="12.5" x14ac:dyDescent="0.25">
      <c r="B89" s="62"/>
      <c r="D89" s="62"/>
    </row>
    <row r="90" spans="2:4" ht="12.5" x14ac:dyDescent="0.25">
      <c r="B90" s="62"/>
      <c r="D90" s="62"/>
    </row>
    <row r="91" spans="2:4" ht="12.5" x14ac:dyDescent="0.25">
      <c r="B91" s="62"/>
      <c r="D91" s="62"/>
    </row>
    <row r="92" spans="2:4" ht="12.5" x14ac:dyDescent="0.25">
      <c r="B92" s="62"/>
      <c r="D92" s="62"/>
    </row>
    <row r="93" spans="2:4" ht="12.5" x14ac:dyDescent="0.25">
      <c r="B93" s="62"/>
      <c r="D93" s="62"/>
    </row>
    <row r="94" spans="2:4" ht="12.5" x14ac:dyDescent="0.25">
      <c r="B94" s="62"/>
      <c r="D94" s="62"/>
    </row>
    <row r="95" spans="2:4" ht="12.5" x14ac:dyDescent="0.25">
      <c r="B95" s="62"/>
      <c r="D95" s="62"/>
    </row>
    <row r="96" spans="2:4" ht="12.5" x14ac:dyDescent="0.25">
      <c r="B96" s="62"/>
      <c r="D96" s="62"/>
    </row>
    <row r="97" spans="2:4" ht="12.5" x14ac:dyDescent="0.25">
      <c r="B97" s="62"/>
      <c r="D97" s="62"/>
    </row>
    <row r="98" spans="2:4" ht="12.5" x14ac:dyDescent="0.25">
      <c r="B98" s="62"/>
      <c r="D98" s="62"/>
    </row>
    <row r="99" spans="2:4" ht="12.5" x14ac:dyDescent="0.25">
      <c r="B99" s="62"/>
      <c r="D99" s="62"/>
    </row>
    <row r="100" spans="2:4" ht="12.5" x14ac:dyDescent="0.25">
      <c r="B100" s="62"/>
      <c r="D100" s="62"/>
    </row>
    <row r="101" spans="2:4" ht="12.5" x14ac:dyDescent="0.25">
      <c r="B101" s="62"/>
      <c r="D101" s="62"/>
    </row>
    <row r="102" spans="2:4" ht="12.5" x14ac:dyDescent="0.25">
      <c r="B102" s="62"/>
      <c r="D102" s="62"/>
    </row>
    <row r="103" spans="2:4" ht="12.5" x14ac:dyDescent="0.25">
      <c r="B103" s="62"/>
      <c r="D103" s="62"/>
    </row>
    <row r="104" spans="2:4" ht="12.5" x14ac:dyDescent="0.25">
      <c r="B104" s="62"/>
      <c r="D104" s="62"/>
    </row>
    <row r="105" spans="2:4" ht="12.5" x14ac:dyDescent="0.25">
      <c r="B105" s="62"/>
      <c r="D105" s="62"/>
    </row>
    <row r="106" spans="2:4" ht="12.5" x14ac:dyDescent="0.25">
      <c r="B106" s="62"/>
      <c r="D106" s="62"/>
    </row>
    <row r="107" spans="2:4" ht="12.5" x14ac:dyDescent="0.25">
      <c r="B107" s="62"/>
      <c r="D107" s="62"/>
    </row>
    <row r="108" spans="2:4" ht="12.5" x14ac:dyDescent="0.25">
      <c r="B108" s="62"/>
      <c r="D108" s="62"/>
    </row>
    <row r="109" spans="2:4" ht="12.5" x14ac:dyDescent="0.25">
      <c r="B109" s="62"/>
      <c r="D109" s="62"/>
    </row>
    <row r="110" spans="2:4" ht="12.5" x14ac:dyDescent="0.25">
      <c r="B110" s="62"/>
      <c r="D110" s="62"/>
    </row>
    <row r="111" spans="2:4" ht="12.5" x14ac:dyDescent="0.25">
      <c r="B111" s="62"/>
      <c r="D111" s="62"/>
    </row>
    <row r="112" spans="2:4" ht="12.5" x14ac:dyDescent="0.25">
      <c r="B112" s="62"/>
      <c r="D112" s="62"/>
    </row>
    <row r="113" spans="2:4" ht="12.5" x14ac:dyDescent="0.25">
      <c r="B113" s="62"/>
      <c r="D113" s="62"/>
    </row>
    <row r="114" spans="2:4" ht="12.5" x14ac:dyDescent="0.25">
      <c r="B114" s="62"/>
      <c r="D114" s="62"/>
    </row>
    <row r="115" spans="2:4" ht="12.5" x14ac:dyDescent="0.25">
      <c r="B115" s="62"/>
      <c r="D115" s="62"/>
    </row>
    <row r="116" spans="2:4" ht="12.5" x14ac:dyDescent="0.25">
      <c r="B116" s="62"/>
      <c r="D116" s="62"/>
    </row>
    <row r="117" spans="2:4" ht="12.5" x14ac:dyDescent="0.25">
      <c r="B117" s="62"/>
      <c r="D117" s="62"/>
    </row>
    <row r="118" spans="2:4" ht="12.5" x14ac:dyDescent="0.25">
      <c r="B118" s="62"/>
      <c r="D118" s="62"/>
    </row>
    <row r="119" spans="2:4" ht="12.5" x14ac:dyDescent="0.25">
      <c r="B119" s="62"/>
      <c r="D119" s="62"/>
    </row>
    <row r="120" spans="2:4" ht="12.5" x14ac:dyDescent="0.25">
      <c r="B120" s="62"/>
      <c r="D120" s="62"/>
    </row>
    <row r="121" spans="2:4" ht="12.5" x14ac:dyDescent="0.25">
      <c r="B121" s="62"/>
      <c r="D121" s="62"/>
    </row>
    <row r="122" spans="2:4" ht="12.5" x14ac:dyDescent="0.25">
      <c r="B122" s="62"/>
      <c r="D122" s="62"/>
    </row>
    <row r="123" spans="2:4" ht="12.5" x14ac:dyDescent="0.25">
      <c r="B123" s="62"/>
      <c r="D123" s="62"/>
    </row>
    <row r="124" spans="2:4" ht="12.5" x14ac:dyDescent="0.25">
      <c r="B124" s="62"/>
      <c r="D124" s="62"/>
    </row>
    <row r="125" spans="2:4" ht="12.5" x14ac:dyDescent="0.25">
      <c r="B125" s="62"/>
      <c r="D125" s="62"/>
    </row>
    <row r="126" spans="2:4" ht="12.5" x14ac:dyDescent="0.25">
      <c r="B126" s="62"/>
      <c r="D126" s="62"/>
    </row>
    <row r="127" spans="2:4" ht="12.5" x14ac:dyDescent="0.25">
      <c r="B127" s="62"/>
      <c r="D127" s="62"/>
    </row>
    <row r="128" spans="2:4" ht="12.5" x14ac:dyDescent="0.25">
      <c r="B128" s="62"/>
      <c r="D128" s="62"/>
    </row>
    <row r="129" spans="2:4" ht="12.5" x14ac:dyDescent="0.25">
      <c r="B129" s="62"/>
      <c r="D129" s="62"/>
    </row>
    <row r="130" spans="2:4" ht="12.5" x14ac:dyDescent="0.25">
      <c r="B130" s="62"/>
      <c r="D130" s="62"/>
    </row>
    <row r="131" spans="2:4" ht="12.5" x14ac:dyDescent="0.25">
      <c r="B131" s="62"/>
      <c r="D131" s="62"/>
    </row>
    <row r="132" spans="2:4" ht="12.5" x14ac:dyDescent="0.25">
      <c r="B132" s="62"/>
      <c r="D132" s="62"/>
    </row>
    <row r="133" spans="2:4" ht="12.5" x14ac:dyDescent="0.25">
      <c r="B133" s="62"/>
      <c r="D133" s="62"/>
    </row>
    <row r="134" spans="2:4" ht="12.5" x14ac:dyDescent="0.25">
      <c r="B134" s="62"/>
      <c r="D134" s="62"/>
    </row>
    <row r="135" spans="2:4" ht="12.5" x14ac:dyDescent="0.25">
      <c r="B135" s="62"/>
      <c r="D135" s="62"/>
    </row>
    <row r="136" spans="2:4" ht="12.5" x14ac:dyDescent="0.25">
      <c r="B136" s="62"/>
      <c r="D136" s="62"/>
    </row>
    <row r="137" spans="2:4" ht="12.5" x14ac:dyDescent="0.25">
      <c r="B137" s="62"/>
      <c r="D137" s="62"/>
    </row>
    <row r="138" spans="2:4" ht="12.5" x14ac:dyDescent="0.25">
      <c r="B138" s="62"/>
      <c r="D138" s="62"/>
    </row>
    <row r="139" spans="2:4" ht="12.5" x14ac:dyDescent="0.25">
      <c r="B139" s="62"/>
      <c r="D139" s="62"/>
    </row>
    <row r="140" spans="2:4" ht="12.5" x14ac:dyDescent="0.25">
      <c r="B140" s="62"/>
      <c r="D140" s="62"/>
    </row>
    <row r="141" spans="2:4" ht="12.5" x14ac:dyDescent="0.25">
      <c r="B141" s="62"/>
      <c r="D141" s="62"/>
    </row>
    <row r="142" spans="2:4" ht="12.5" x14ac:dyDescent="0.25">
      <c r="B142" s="62"/>
      <c r="D142" s="62"/>
    </row>
    <row r="143" spans="2:4" ht="12.5" x14ac:dyDescent="0.25">
      <c r="B143" s="62"/>
      <c r="D143" s="62"/>
    </row>
    <row r="144" spans="2:4" ht="12.5" x14ac:dyDescent="0.25">
      <c r="B144" s="62"/>
      <c r="D144" s="62"/>
    </row>
    <row r="145" spans="2:4" ht="12.5" x14ac:dyDescent="0.25">
      <c r="B145" s="62"/>
      <c r="D145" s="62"/>
    </row>
    <row r="146" spans="2:4" ht="12.5" x14ac:dyDescent="0.25">
      <c r="B146" s="62"/>
      <c r="D146" s="62"/>
    </row>
    <row r="147" spans="2:4" ht="12.5" x14ac:dyDescent="0.25">
      <c r="B147" s="62"/>
      <c r="D147" s="62"/>
    </row>
    <row r="148" spans="2:4" ht="12.5" x14ac:dyDescent="0.25">
      <c r="B148" s="62"/>
      <c r="D148" s="62"/>
    </row>
    <row r="149" spans="2:4" ht="12.5" x14ac:dyDescent="0.25">
      <c r="B149" s="62"/>
      <c r="D149" s="62"/>
    </row>
    <row r="150" spans="2:4" ht="12.5" x14ac:dyDescent="0.25">
      <c r="B150" s="62"/>
      <c r="D150" s="62"/>
    </row>
    <row r="151" spans="2:4" ht="12.5" x14ac:dyDescent="0.25">
      <c r="B151" s="62"/>
      <c r="D151" s="62"/>
    </row>
    <row r="152" spans="2:4" ht="12.5" x14ac:dyDescent="0.25">
      <c r="B152" s="62"/>
      <c r="D152" s="62"/>
    </row>
    <row r="153" spans="2:4" ht="12.5" x14ac:dyDescent="0.25">
      <c r="B153" s="62"/>
      <c r="D153" s="62"/>
    </row>
    <row r="154" spans="2:4" ht="12.5" x14ac:dyDescent="0.25">
      <c r="B154" s="62"/>
      <c r="D154" s="62"/>
    </row>
    <row r="155" spans="2:4" ht="12.5" x14ac:dyDescent="0.25">
      <c r="B155" s="62"/>
      <c r="D155" s="62"/>
    </row>
    <row r="156" spans="2:4" ht="12.5" x14ac:dyDescent="0.25">
      <c r="B156" s="62"/>
      <c r="D156" s="62"/>
    </row>
    <row r="157" spans="2:4" ht="12.5" x14ac:dyDescent="0.25">
      <c r="B157" s="62"/>
      <c r="D157" s="62"/>
    </row>
    <row r="158" spans="2:4" ht="12.5" x14ac:dyDescent="0.25">
      <c r="B158" s="62"/>
      <c r="D158" s="62"/>
    </row>
    <row r="159" spans="2:4" ht="12.5" x14ac:dyDescent="0.25">
      <c r="B159" s="62"/>
      <c r="D159" s="62"/>
    </row>
    <row r="160" spans="2:4" ht="12.5" x14ac:dyDescent="0.25">
      <c r="B160" s="62"/>
      <c r="D160" s="62"/>
    </row>
    <row r="161" spans="2:4" ht="12.5" x14ac:dyDescent="0.25">
      <c r="B161" s="62"/>
      <c r="D161" s="62"/>
    </row>
    <row r="162" spans="2:4" ht="12.5" x14ac:dyDescent="0.25">
      <c r="B162" s="62"/>
      <c r="D162" s="62"/>
    </row>
    <row r="163" spans="2:4" ht="12.5" x14ac:dyDescent="0.25">
      <c r="B163" s="62"/>
      <c r="D163" s="62"/>
    </row>
    <row r="164" spans="2:4" ht="12.5" x14ac:dyDescent="0.25">
      <c r="B164" s="62"/>
      <c r="D164" s="62"/>
    </row>
    <row r="165" spans="2:4" ht="12.5" x14ac:dyDescent="0.25">
      <c r="B165" s="62"/>
      <c r="D165" s="62"/>
    </row>
    <row r="166" spans="2:4" ht="12.5" x14ac:dyDescent="0.25">
      <c r="B166" s="62"/>
      <c r="D166" s="62"/>
    </row>
    <row r="167" spans="2:4" ht="12.5" x14ac:dyDescent="0.25">
      <c r="B167" s="62"/>
      <c r="D167" s="62"/>
    </row>
    <row r="168" spans="2:4" ht="12.5" x14ac:dyDescent="0.25">
      <c r="B168" s="62"/>
      <c r="D168" s="62"/>
    </row>
    <row r="169" spans="2:4" ht="12.5" x14ac:dyDescent="0.25">
      <c r="B169" s="62"/>
      <c r="D169" s="62"/>
    </row>
    <row r="170" spans="2:4" ht="12.5" x14ac:dyDescent="0.25">
      <c r="B170" s="62"/>
      <c r="D170" s="62"/>
    </row>
    <row r="171" spans="2:4" ht="12.5" x14ac:dyDescent="0.25">
      <c r="B171" s="62"/>
      <c r="D171" s="62"/>
    </row>
    <row r="172" spans="2:4" ht="12.5" x14ac:dyDescent="0.25">
      <c r="B172" s="62"/>
      <c r="D172" s="62"/>
    </row>
    <row r="173" spans="2:4" ht="12.5" x14ac:dyDescent="0.25">
      <c r="B173" s="62"/>
      <c r="D173" s="62"/>
    </row>
    <row r="174" spans="2:4" ht="12.5" x14ac:dyDescent="0.25">
      <c r="B174" s="62"/>
      <c r="D174" s="62"/>
    </row>
    <row r="175" spans="2:4" ht="12.5" x14ac:dyDescent="0.25">
      <c r="B175" s="62"/>
      <c r="D175" s="62"/>
    </row>
    <row r="176" spans="2:4" ht="12.5" x14ac:dyDescent="0.25">
      <c r="B176" s="62"/>
      <c r="D176" s="62"/>
    </row>
    <row r="177" spans="2:4" ht="12.5" x14ac:dyDescent="0.25">
      <c r="B177" s="62"/>
      <c r="D177" s="62"/>
    </row>
    <row r="178" spans="2:4" ht="12.5" x14ac:dyDescent="0.25">
      <c r="B178" s="62"/>
      <c r="D178" s="62"/>
    </row>
    <row r="179" spans="2:4" ht="12.5" x14ac:dyDescent="0.25">
      <c r="B179" s="62"/>
      <c r="D179" s="62"/>
    </row>
    <row r="180" spans="2:4" ht="12.5" x14ac:dyDescent="0.25">
      <c r="B180" s="62"/>
      <c r="D180" s="62"/>
    </row>
    <row r="181" spans="2:4" ht="12.5" x14ac:dyDescent="0.25">
      <c r="B181" s="62"/>
      <c r="D181" s="62"/>
    </row>
    <row r="182" spans="2:4" ht="12.5" x14ac:dyDescent="0.25">
      <c r="B182" s="62"/>
      <c r="D182" s="62"/>
    </row>
    <row r="183" spans="2:4" ht="12.5" x14ac:dyDescent="0.25">
      <c r="B183" s="62"/>
      <c r="D183" s="62"/>
    </row>
    <row r="184" spans="2:4" ht="12.5" x14ac:dyDescent="0.25">
      <c r="B184" s="62"/>
      <c r="D184" s="62"/>
    </row>
    <row r="185" spans="2:4" ht="12.5" x14ac:dyDescent="0.25">
      <c r="B185" s="62"/>
      <c r="D185" s="62"/>
    </row>
    <row r="186" spans="2:4" ht="12.5" x14ac:dyDescent="0.25">
      <c r="B186" s="62"/>
      <c r="D186" s="62"/>
    </row>
    <row r="187" spans="2:4" ht="12.5" x14ac:dyDescent="0.25">
      <c r="B187" s="62"/>
      <c r="D187" s="62"/>
    </row>
    <row r="188" spans="2:4" ht="12.5" x14ac:dyDescent="0.25">
      <c r="B188" s="62"/>
      <c r="D188" s="62"/>
    </row>
    <row r="189" spans="2:4" ht="12.5" x14ac:dyDescent="0.25">
      <c r="B189" s="62"/>
      <c r="D189" s="62"/>
    </row>
    <row r="190" spans="2:4" ht="12.5" x14ac:dyDescent="0.25">
      <c r="B190" s="62"/>
      <c r="D190" s="62"/>
    </row>
    <row r="191" spans="2:4" ht="12.5" x14ac:dyDescent="0.25">
      <c r="B191" s="62"/>
      <c r="D191" s="62"/>
    </row>
    <row r="192" spans="2:4" ht="12.5" x14ac:dyDescent="0.25">
      <c r="B192" s="62"/>
      <c r="D192" s="62"/>
    </row>
    <row r="193" spans="2:4" ht="12.5" x14ac:dyDescent="0.25">
      <c r="B193" s="62"/>
      <c r="D193" s="62"/>
    </row>
    <row r="194" spans="2:4" ht="12.5" x14ac:dyDescent="0.25">
      <c r="B194" s="62"/>
      <c r="D194" s="62"/>
    </row>
    <row r="195" spans="2:4" ht="12.5" x14ac:dyDescent="0.25">
      <c r="B195" s="62"/>
      <c r="D195" s="62"/>
    </row>
    <row r="196" spans="2:4" ht="12.5" x14ac:dyDescent="0.25">
      <c r="B196" s="62"/>
      <c r="D196" s="62"/>
    </row>
    <row r="197" spans="2:4" ht="12.5" x14ac:dyDescent="0.25">
      <c r="B197" s="62"/>
      <c r="D197" s="62"/>
    </row>
    <row r="198" spans="2:4" ht="12.5" x14ac:dyDescent="0.25">
      <c r="B198" s="62"/>
      <c r="D198" s="62"/>
    </row>
    <row r="199" spans="2:4" ht="12.5" x14ac:dyDescent="0.25">
      <c r="B199" s="62"/>
      <c r="D199" s="62"/>
    </row>
    <row r="200" spans="2:4" ht="12.5" x14ac:dyDescent="0.25">
      <c r="B200" s="62"/>
      <c r="D200" s="62"/>
    </row>
    <row r="201" spans="2:4" ht="12.5" x14ac:dyDescent="0.25">
      <c r="B201" s="62"/>
      <c r="D201" s="62"/>
    </row>
    <row r="202" spans="2:4" ht="12.5" x14ac:dyDescent="0.25">
      <c r="B202" s="62"/>
      <c r="D202" s="62"/>
    </row>
    <row r="203" spans="2:4" ht="12.5" x14ac:dyDescent="0.25">
      <c r="B203" s="62"/>
      <c r="D203" s="62"/>
    </row>
    <row r="204" spans="2:4" ht="12.5" x14ac:dyDescent="0.25">
      <c r="B204" s="62"/>
      <c r="D204" s="62"/>
    </row>
    <row r="205" spans="2:4" ht="12.5" x14ac:dyDescent="0.25">
      <c r="B205" s="62"/>
      <c r="D205" s="62"/>
    </row>
    <row r="206" spans="2:4" ht="12.5" x14ac:dyDescent="0.25">
      <c r="B206" s="62"/>
      <c r="D206" s="62"/>
    </row>
    <row r="207" spans="2:4" ht="12.5" x14ac:dyDescent="0.25">
      <c r="B207" s="62"/>
      <c r="D207" s="62"/>
    </row>
    <row r="208" spans="2:4" ht="12.5" x14ac:dyDescent="0.25">
      <c r="B208" s="62"/>
      <c r="D208" s="62"/>
    </row>
    <row r="209" spans="2:4" ht="12.5" x14ac:dyDescent="0.25">
      <c r="B209" s="62"/>
      <c r="D209" s="62"/>
    </row>
    <row r="210" spans="2:4" ht="12.5" x14ac:dyDescent="0.25">
      <c r="B210" s="62"/>
      <c r="D210" s="62"/>
    </row>
    <row r="211" spans="2:4" ht="12.5" x14ac:dyDescent="0.25">
      <c r="B211" s="62"/>
      <c r="D211" s="62"/>
    </row>
    <row r="212" spans="2:4" ht="12.5" x14ac:dyDescent="0.25">
      <c r="B212" s="62"/>
      <c r="D212" s="62"/>
    </row>
    <row r="213" spans="2:4" ht="12.5" x14ac:dyDescent="0.25">
      <c r="B213" s="62"/>
      <c r="D213" s="62"/>
    </row>
    <row r="214" spans="2:4" ht="12.5" x14ac:dyDescent="0.25">
      <c r="B214" s="62"/>
      <c r="D214" s="62"/>
    </row>
    <row r="215" spans="2:4" ht="12.5" x14ac:dyDescent="0.25">
      <c r="B215" s="62"/>
      <c r="D215" s="62"/>
    </row>
    <row r="216" spans="2:4" ht="12.5" x14ac:dyDescent="0.25">
      <c r="B216" s="62"/>
      <c r="D216" s="62"/>
    </row>
    <row r="217" spans="2:4" ht="12.5" x14ac:dyDescent="0.25">
      <c r="B217" s="62"/>
      <c r="D217" s="62"/>
    </row>
    <row r="218" spans="2:4" ht="12.5" x14ac:dyDescent="0.25">
      <c r="B218" s="62"/>
      <c r="D218" s="62"/>
    </row>
    <row r="219" spans="2:4" ht="12.5" x14ac:dyDescent="0.25">
      <c r="B219" s="62"/>
      <c r="D219" s="62"/>
    </row>
    <row r="220" spans="2:4" ht="12.5" x14ac:dyDescent="0.25">
      <c r="B220" s="62"/>
      <c r="D220" s="62"/>
    </row>
    <row r="221" spans="2:4" ht="12.5" x14ac:dyDescent="0.25">
      <c r="B221" s="62"/>
      <c r="D221" s="62"/>
    </row>
    <row r="222" spans="2:4" ht="12.5" x14ac:dyDescent="0.25">
      <c r="B222" s="62"/>
      <c r="D222" s="62"/>
    </row>
    <row r="223" spans="2:4" ht="12.5" x14ac:dyDescent="0.25">
      <c r="B223" s="62"/>
      <c r="D223" s="62"/>
    </row>
    <row r="224" spans="2:4" ht="12.5" x14ac:dyDescent="0.25">
      <c r="B224" s="62"/>
      <c r="D224" s="62"/>
    </row>
    <row r="225" spans="2:4" ht="12.5" x14ac:dyDescent="0.25">
      <c r="B225" s="62"/>
      <c r="D225" s="62"/>
    </row>
    <row r="226" spans="2:4" ht="12.5" x14ac:dyDescent="0.25">
      <c r="B226" s="62"/>
      <c r="D226" s="62"/>
    </row>
    <row r="227" spans="2:4" ht="12.5" x14ac:dyDescent="0.25">
      <c r="B227" s="62"/>
      <c r="D227" s="62"/>
    </row>
    <row r="228" spans="2:4" ht="12.5" x14ac:dyDescent="0.25">
      <c r="B228" s="62"/>
      <c r="D228" s="62"/>
    </row>
    <row r="229" spans="2:4" ht="12.5" x14ac:dyDescent="0.25">
      <c r="B229" s="62"/>
      <c r="D229" s="62"/>
    </row>
    <row r="230" spans="2:4" ht="12.5" x14ac:dyDescent="0.25">
      <c r="B230" s="62"/>
      <c r="D230" s="62"/>
    </row>
    <row r="231" spans="2:4" ht="12.5" x14ac:dyDescent="0.25">
      <c r="B231" s="62"/>
      <c r="D231" s="62"/>
    </row>
    <row r="232" spans="2:4" ht="12.5" x14ac:dyDescent="0.25">
      <c r="B232" s="62"/>
      <c r="D232" s="62"/>
    </row>
    <row r="233" spans="2:4" ht="12.5" x14ac:dyDescent="0.25">
      <c r="B233" s="62"/>
      <c r="D233" s="62"/>
    </row>
    <row r="234" spans="2:4" ht="12.5" x14ac:dyDescent="0.25">
      <c r="B234" s="62"/>
      <c r="D234" s="62"/>
    </row>
    <row r="235" spans="2:4" ht="12.5" x14ac:dyDescent="0.25">
      <c r="B235" s="62"/>
      <c r="D235" s="62"/>
    </row>
    <row r="236" spans="2:4" ht="12.5" x14ac:dyDescent="0.25">
      <c r="B236" s="62"/>
      <c r="D236" s="62"/>
    </row>
    <row r="237" spans="2:4" ht="12.5" x14ac:dyDescent="0.25">
      <c r="B237" s="62"/>
      <c r="D237" s="62"/>
    </row>
    <row r="238" spans="2:4" ht="12.5" x14ac:dyDescent="0.25">
      <c r="B238" s="62"/>
      <c r="D238" s="62"/>
    </row>
    <row r="239" spans="2:4" ht="12.5" x14ac:dyDescent="0.25">
      <c r="B239" s="62"/>
      <c r="D239" s="62"/>
    </row>
    <row r="240" spans="2:4" ht="12.5" x14ac:dyDescent="0.25">
      <c r="B240" s="62"/>
      <c r="D240" s="62"/>
    </row>
    <row r="241" spans="2:4" ht="12.5" x14ac:dyDescent="0.25">
      <c r="B241" s="62"/>
      <c r="D241" s="62"/>
    </row>
    <row r="242" spans="2:4" ht="12.5" x14ac:dyDescent="0.25">
      <c r="B242" s="62"/>
      <c r="D242" s="62"/>
    </row>
    <row r="243" spans="2:4" ht="12.5" x14ac:dyDescent="0.25">
      <c r="B243" s="62"/>
      <c r="D243" s="62"/>
    </row>
    <row r="244" spans="2:4" ht="12.5" x14ac:dyDescent="0.25">
      <c r="B244" s="62"/>
      <c r="D244" s="62"/>
    </row>
    <row r="245" spans="2:4" ht="12.5" x14ac:dyDescent="0.25">
      <c r="B245" s="62"/>
      <c r="D245" s="62"/>
    </row>
    <row r="246" spans="2:4" ht="12.5" x14ac:dyDescent="0.25">
      <c r="B246" s="62"/>
      <c r="D246" s="62"/>
    </row>
    <row r="247" spans="2:4" ht="12.5" x14ac:dyDescent="0.25">
      <c r="B247" s="62"/>
      <c r="D247" s="62"/>
    </row>
    <row r="248" spans="2:4" ht="12.5" x14ac:dyDescent="0.25">
      <c r="B248" s="62"/>
      <c r="D248" s="62"/>
    </row>
    <row r="249" spans="2:4" ht="12.5" x14ac:dyDescent="0.25">
      <c r="B249" s="62"/>
      <c r="D249" s="62"/>
    </row>
    <row r="250" spans="2:4" ht="12.5" x14ac:dyDescent="0.25">
      <c r="B250" s="62"/>
      <c r="D250" s="62"/>
    </row>
    <row r="251" spans="2:4" ht="12.5" x14ac:dyDescent="0.25">
      <c r="B251" s="62"/>
      <c r="D251" s="62"/>
    </row>
    <row r="252" spans="2:4" ht="12.5" x14ac:dyDescent="0.25">
      <c r="B252" s="62"/>
      <c r="D252" s="62"/>
    </row>
    <row r="253" spans="2:4" ht="12.5" x14ac:dyDescent="0.25">
      <c r="B253" s="62"/>
      <c r="D253" s="62"/>
    </row>
    <row r="254" spans="2:4" ht="12.5" x14ac:dyDescent="0.25">
      <c r="B254" s="62"/>
      <c r="D254" s="62"/>
    </row>
    <row r="255" spans="2:4" ht="12.5" x14ac:dyDescent="0.25">
      <c r="B255" s="62"/>
      <c r="D255" s="62"/>
    </row>
    <row r="256" spans="2:4" ht="12.5" x14ac:dyDescent="0.25">
      <c r="B256" s="62"/>
      <c r="D256" s="62"/>
    </row>
    <row r="257" spans="2:4" ht="12.5" x14ac:dyDescent="0.25">
      <c r="B257" s="62"/>
      <c r="D257" s="62"/>
    </row>
    <row r="258" spans="2:4" ht="12.5" x14ac:dyDescent="0.25">
      <c r="B258" s="62"/>
      <c r="D258" s="62"/>
    </row>
    <row r="259" spans="2:4" ht="12.5" x14ac:dyDescent="0.25">
      <c r="B259" s="62"/>
      <c r="D259" s="62"/>
    </row>
    <row r="260" spans="2:4" ht="12.5" x14ac:dyDescent="0.25">
      <c r="B260" s="62"/>
      <c r="D260" s="62"/>
    </row>
    <row r="261" spans="2:4" ht="12.5" x14ac:dyDescent="0.25">
      <c r="B261" s="62"/>
      <c r="D261" s="62"/>
    </row>
    <row r="262" spans="2:4" ht="12.5" x14ac:dyDescent="0.25">
      <c r="B262" s="62"/>
      <c r="D262" s="62"/>
    </row>
    <row r="263" spans="2:4" ht="12.5" x14ac:dyDescent="0.25">
      <c r="B263" s="62"/>
      <c r="D263" s="62"/>
    </row>
    <row r="264" spans="2:4" ht="12.5" x14ac:dyDescent="0.25">
      <c r="B264" s="62"/>
      <c r="D264" s="62"/>
    </row>
    <row r="265" spans="2:4" ht="12.5" x14ac:dyDescent="0.25">
      <c r="B265" s="62"/>
      <c r="D265" s="62"/>
    </row>
    <row r="266" spans="2:4" ht="12.5" x14ac:dyDescent="0.25">
      <c r="B266" s="62"/>
      <c r="D266" s="62"/>
    </row>
    <row r="267" spans="2:4" ht="12.5" x14ac:dyDescent="0.25">
      <c r="B267" s="62"/>
      <c r="D267" s="62"/>
    </row>
    <row r="268" spans="2:4" ht="12.5" x14ac:dyDescent="0.25">
      <c r="B268" s="62"/>
      <c r="D268" s="62"/>
    </row>
    <row r="269" spans="2:4" ht="12.5" x14ac:dyDescent="0.25">
      <c r="B269" s="62"/>
      <c r="D269" s="62"/>
    </row>
    <row r="270" spans="2:4" ht="12.5" x14ac:dyDescent="0.25">
      <c r="B270" s="62"/>
      <c r="D270" s="62"/>
    </row>
    <row r="271" spans="2:4" ht="12.5" x14ac:dyDescent="0.25">
      <c r="B271" s="62"/>
      <c r="D271" s="62"/>
    </row>
    <row r="272" spans="2:4" ht="12.5" x14ac:dyDescent="0.25">
      <c r="B272" s="62"/>
      <c r="D272" s="62"/>
    </row>
    <row r="273" spans="2:4" ht="12.5" x14ac:dyDescent="0.25">
      <c r="B273" s="62"/>
      <c r="D273" s="62"/>
    </row>
    <row r="274" spans="2:4" ht="12.5" x14ac:dyDescent="0.25">
      <c r="B274" s="62"/>
      <c r="D274" s="62"/>
    </row>
    <row r="275" spans="2:4" ht="12.5" x14ac:dyDescent="0.25">
      <c r="B275" s="62"/>
      <c r="D275" s="62"/>
    </row>
    <row r="276" spans="2:4" ht="12.5" x14ac:dyDescent="0.25">
      <c r="B276" s="62"/>
      <c r="D276" s="62"/>
    </row>
    <row r="277" spans="2:4" ht="12.5" x14ac:dyDescent="0.25">
      <c r="B277" s="62"/>
      <c r="D277" s="62"/>
    </row>
    <row r="278" spans="2:4" ht="12.5" x14ac:dyDescent="0.25">
      <c r="B278" s="62"/>
      <c r="D278" s="62"/>
    </row>
    <row r="279" spans="2:4" ht="12.5" x14ac:dyDescent="0.25">
      <c r="B279" s="62"/>
      <c r="D279" s="62"/>
    </row>
    <row r="280" spans="2:4" ht="12.5" x14ac:dyDescent="0.25">
      <c r="B280" s="62"/>
      <c r="D280" s="62"/>
    </row>
    <row r="281" spans="2:4" ht="12.5" x14ac:dyDescent="0.25">
      <c r="B281" s="62"/>
      <c r="D281" s="62"/>
    </row>
    <row r="282" spans="2:4" ht="12.5" x14ac:dyDescent="0.25">
      <c r="B282" s="62"/>
      <c r="D282" s="62"/>
    </row>
    <row r="283" spans="2:4" ht="12.5" x14ac:dyDescent="0.25">
      <c r="B283" s="62"/>
      <c r="D283" s="62"/>
    </row>
    <row r="284" spans="2:4" ht="12.5" x14ac:dyDescent="0.25">
      <c r="B284" s="62"/>
      <c r="D284" s="62"/>
    </row>
    <row r="285" spans="2:4" ht="12.5" x14ac:dyDescent="0.25">
      <c r="B285" s="62"/>
      <c r="D285" s="62"/>
    </row>
    <row r="286" spans="2:4" ht="12.5" x14ac:dyDescent="0.25">
      <c r="B286" s="62"/>
      <c r="D286" s="62"/>
    </row>
    <row r="287" spans="2:4" ht="12.5" x14ac:dyDescent="0.25">
      <c r="B287" s="62"/>
      <c r="D287" s="62"/>
    </row>
    <row r="288" spans="2:4" ht="12.5" x14ac:dyDescent="0.25">
      <c r="B288" s="62"/>
      <c r="D288" s="62"/>
    </row>
    <row r="289" spans="2:4" ht="12.5" x14ac:dyDescent="0.25">
      <c r="B289" s="62"/>
      <c r="D289" s="62"/>
    </row>
    <row r="290" spans="2:4" ht="12.5" x14ac:dyDescent="0.25">
      <c r="B290" s="62"/>
      <c r="D290" s="62"/>
    </row>
    <row r="291" spans="2:4" ht="12.5" x14ac:dyDescent="0.25">
      <c r="B291" s="62"/>
      <c r="D291" s="62"/>
    </row>
    <row r="292" spans="2:4" ht="12.5" x14ac:dyDescent="0.25">
      <c r="B292" s="62"/>
      <c r="D292" s="62"/>
    </row>
    <row r="293" spans="2:4" ht="12.5" x14ac:dyDescent="0.25">
      <c r="B293" s="62"/>
      <c r="D293" s="62"/>
    </row>
    <row r="294" spans="2:4" ht="12.5" x14ac:dyDescent="0.25">
      <c r="B294" s="62"/>
      <c r="D294" s="62"/>
    </row>
    <row r="295" spans="2:4" ht="12.5" x14ac:dyDescent="0.25">
      <c r="B295" s="62"/>
      <c r="D295" s="62"/>
    </row>
    <row r="296" spans="2:4" ht="12.5" x14ac:dyDescent="0.25">
      <c r="B296" s="62"/>
      <c r="D296" s="62"/>
    </row>
    <row r="297" spans="2:4" ht="12.5" x14ac:dyDescent="0.25">
      <c r="B297" s="62"/>
      <c r="D297" s="62"/>
    </row>
    <row r="298" spans="2:4" ht="12.5" x14ac:dyDescent="0.25">
      <c r="B298" s="62"/>
      <c r="D298" s="62"/>
    </row>
    <row r="299" spans="2:4" ht="12.5" x14ac:dyDescent="0.25">
      <c r="B299" s="62"/>
      <c r="D299" s="62"/>
    </row>
    <row r="300" spans="2:4" ht="12.5" x14ac:dyDescent="0.25">
      <c r="B300" s="62"/>
      <c r="D300" s="62"/>
    </row>
    <row r="301" spans="2:4" ht="12.5" x14ac:dyDescent="0.25">
      <c r="B301" s="62"/>
      <c r="D301" s="62"/>
    </row>
    <row r="302" spans="2:4" ht="12.5" x14ac:dyDescent="0.25">
      <c r="B302" s="62"/>
      <c r="D302" s="62"/>
    </row>
    <row r="303" spans="2:4" ht="12.5" x14ac:dyDescent="0.25">
      <c r="B303" s="62"/>
      <c r="D303" s="62"/>
    </row>
    <row r="304" spans="2:4" ht="12.5" x14ac:dyDescent="0.25">
      <c r="B304" s="62"/>
      <c r="D304" s="62"/>
    </row>
    <row r="305" spans="2:4" ht="12.5" x14ac:dyDescent="0.25">
      <c r="B305" s="62"/>
      <c r="D305" s="62"/>
    </row>
    <row r="306" spans="2:4" ht="12.5" x14ac:dyDescent="0.25">
      <c r="B306" s="62"/>
      <c r="D306" s="62"/>
    </row>
    <row r="307" spans="2:4" ht="12.5" x14ac:dyDescent="0.25">
      <c r="B307" s="62"/>
      <c r="D307" s="62"/>
    </row>
    <row r="308" spans="2:4" ht="12.5" x14ac:dyDescent="0.25">
      <c r="B308" s="62"/>
      <c r="D308" s="62"/>
    </row>
    <row r="309" spans="2:4" ht="12.5" x14ac:dyDescent="0.25">
      <c r="B309" s="62"/>
      <c r="D309" s="62"/>
    </row>
    <row r="310" spans="2:4" ht="12.5" x14ac:dyDescent="0.25">
      <c r="B310" s="62"/>
      <c r="D310" s="62"/>
    </row>
    <row r="311" spans="2:4" ht="12.5" x14ac:dyDescent="0.25">
      <c r="B311" s="62"/>
      <c r="D311" s="62"/>
    </row>
    <row r="312" spans="2:4" ht="12.5" x14ac:dyDescent="0.25">
      <c r="B312" s="62"/>
      <c r="D312" s="62"/>
    </row>
    <row r="313" spans="2:4" ht="12.5" x14ac:dyDescent="0.25">
      <c r="B313" s="62"/>
      <c r="D313" s="62"/>
    </row>
    <row r="314" spans="2:4" ht="12.5" x14ac:dyDescent="0.25">
      <c r="B314" s="62"/>
      <c r="D314" s="62"/>
    </row>
    <row r="315" spans="2:4" ht="12.5" x14ac:dyDescent="0.25">
      <c r="B315" s="62"/>
      <c r="D315" s="62"/>
    </row>
    <row r="316" spans="2:4" ht="12.5" x14ac:dyDescent="0.25">
      <c r="B316" s="62"/>
      <c r="D316" s="62"/>
    </row>
    <row r="317" spans="2:4" ht="12.5" x14ac:dyDescent="0.25">
      <c r="B317" s="62"/>
      <c r="D317" s="62"/>
    </row>
    <row r="318" spans="2:4" ht="12.5" x14ac:dyDescent="0.25">
      <c r="B318" s="62"/>
      <c r="D318" s="62"/>
    </row>
    <row r="319" spans="2:4" ht="12.5" x14ac:dyDescent="0.25">
      <c r="B319" s="62"/>
      <c r="D319" s="62"/>
    </row>
    <row r="320" spans="2:4" ht="12.5" x14ac:dyDescent="0.25">
      <c r="B320" s="62"/>
      <c r="D320" s="62"/>
    </row>
    <row r="321" spans="2:4" ht="12.5" x14ac:dyDescent="0.25">
      <c r="B321" s="62"/>
      <c r="D321" s="62"/>
    </row>
    <row r="322" spans="2:4" ht="12.5" x14ac:dyDescent="0.25">
      <c r="B322" s="62"/>
      <c r="D322" s="62"/>
    </row>
    <row r="323" spans="2:4" ht="12.5" x14ac:dyDescent="0.25">
      <c r="B323" s="62"/>
      <c r="D323" s="62"/>
    </row>
    <row r="324" spans="2:4" ht="12.5" x14ac:dyDescent="0.25">
      <c r="B324" s="62"/>
      <c r="D324" s="62"/>
    </row>
    <row r="325" spans="2:4" ht="12.5" x14ac:dyDescent="0.25">
      <c r="B325" s="62"/>
      <c r="D325" s="62"/>
    </row>
    <row r="326" spans="2:4" ht="12.5" x14ac:dyDescent="0.25">
      <c r="B326" s="62"/>
      <c r="D326" s="62"/>
    </row>
    <row r="327" spans="2:4" ht="12.5" x14ac:dyDescent="0.25">
      <c r="B327" s="62"/>
      <c r="D327" s="62"/>
    </row>
    <row r="328" spans="2:4" ht="12.5" x14ac:dyDescent="0.25">
      <c r="B328" s="62"/>
      <c r="D328" s="62"/>
    </row>
    <row r="329" spans="2:4" ht="12.5" x14ac:dyDescent="0.25">
      <c r="B329" s="62"/>
      <c r="D329" s="62"/>
    </row>
    <row r="330" spans="2:4" ht="12.5" x14ac:dyDescent="0.25">
      <c r="B330" s="62"/>
      <c r="D330" s="62"/>
    </row>
    <row r="331" spans="2:4" ht="12.5" x14ac:dyDescent="0.25">
      <c r="B331" s="62"/>
      <c r="D331" s="62"/>
    </row>
    <row r="332" spans="2:4" ht="12.5" x14ac:dyDescent="0.25">
      <c r="B332" s="62"/>
      <c r="D332" s="62"/>
    </row>
    <row r="333" spans="2:4" ht="12.5" x14ac:dyDescent="0.25">
      <c r="B333" s="62"/>
      <c r="D333" s="62"/>
    </row>
    <row r="334" spans="2:4" ht="12.5" x14ac:dyDescent="0.25">
      <c r="B334" s="62"/>
      <c r="D334" s="62"/>
    </row>
    <row r="335" spans="2:4" ht="12.5" x14ac:dyDescent="0.25">
      <c r="B335" s="62"/>
      <c r="D335" s="62"/>
    </row>
    <row r="336" spans="2:4" ht="12.5" x14ac:dyDescent="0.25">
      <c r="B336" s="62"/>
      <c r="D336" s="62"/>
    </row>
    <row r="337" spans="2:4" ht="12.5" x14ac:dyDescent="0.25">
      <c r="B337" s="62"/>
      <c r="D337" s="62"/>
    </row>
    <row r="338" spans="2:4" ht="12.5" x14ac:dyDescent="0.25">
      <c r="B338" s="62"/>
      <c r="D338" s="62"/>
    </row>
    <row r="339" spans="2:4" ht="12.5" x14ac:dyDescent="0.25">
      <c r="B339" s="62"/>
      <c r="D339" s="62"/>
    </row>
    <row r="340" spans="2:4" ht="12.5" x14ac:dyDescent="0.25">
      <c r="B340" s="62"/>
      <c r="D340" s="62"/>
    </row>
    <row r="341" spans="2:4" ht="12.5" x14ac:dyDescent="0.25">
      <c r="B341" s="62"/>
      <c r="D341" s="62"/>
    </row>
    <row r="342" spans="2:4" ht="12.5" x14ac:dyDescent="0.25">
      <c r="B342" s="62"/>
      <c r="D342" s="62"/>
    </row>
    <row r="343" spans="2:4" ht="12.5" x14ac:dyDescent="0.25">
      <c r="B343" s="62"/>
      <c r="D343" s="62"/>
    </row>
    <row r="344" spans="2:4" ht="12.5" x14ac:dyDescent="0.25">
      <c r="B344" s="62"/>
      <c r="D344" s="62"/>
    </row>
    <row r="345" spans="2:4" ht="12.5" x14ac:dyDescent="0.25">
      <c r="B345" s="62"/>
      <c r="D345" s="62"/>
    </row>
    <row r="346" spans="2:4" ht="12.5" x14ac:dyDescent="0.25">
      <c r="B346" s="62"/>
      <c r="D346" s="62"/>
    </row>
    <row r="347" spans="2:4" ht="12.5" x14ac:dyDescent="0.25">
      <c r="B347" s="62"/>
      <c r="D347" s="62"/>
    </row>
    <row r="348" spans="2:4" ht="12.5" x14ac:dyDescent="0.25">
      <c r="B348" s="62"/>
      <c r="D348" s="62"/>
    </row>
    <row r="349" spans="2:4" ht="12.5" x14ac:dyDescent="0.25">
      <c r="B349" s="62"/>
      <c r="D349" s="62"/>
    </row>
    <row r="350" spans="2:4" ht="12.5" x14ac:dyDescent="0.25">
      <c r="B350" s="62"/>
      <c r="D350" s="62"/>
    </row>
    <row r="351" spans="2:4" ht="12.5" x14ac:dyDescent="0.25">
      <c r="B351" s="62"/>
      <c r="D351" s="62"/>
    </row>
    <row r="352" spans="2:4" ht="12.5" x14ac:dyDescent="0.25">
      <c r="B352" s="62"/>
      <c r="D352" s="62"/>
    </row>
    <row r="353" spans="2:4" ht="12.5" x14ac:dyDescent="0.25">
      <c r="B353" s="62"/>
      <c r="D353" s="62"/>
    </row>
    <row r="354" spans="2:4" ht="12.5" x14ac:dyDescent="0.25">
      <c r="B354" s="62"/>
      <c r="D354" s="62"/>
    </row>
    <row r="355" spans="2:4" ht="12.5" x14ac:dyDescent="0.25">
      <c r="B355" s="62"/>
      <c r="D355" s="62"/>
    </row>
    <row r="356" spans="2:4" ht="12.5" x14ac:dyDescent="0.25">
      <c r="B356" s="62"/>
      <c r="D356" s="62"/>
    </row>
    <row r="357" spans="2:4" ht="12.5" x14ac:dyDescent="0.25">
      <c r="B357" s="62"/>
      <c r="D357" s="62"/>
    </row>
    <row r="358" spans="2:4" ht="12.5" x14ac:dyDescent="0.25">
      <c r="B358" s="62"/>
      <c r="D358" s="62"/>
    </row>
    <row r="359" spans="2:4" ht="12.5" x14ac:dyDescent="0.25">
      <c r="B359" s="62"/>
      <c r="D359" s="62"/>
    </row>
    <row r="360" spans="2:4" ht="12.5" x14ac:dyDescent="0.25">
      <c r="B360" s="62"/>
      <c r="D360" s="62"/>
    </row>
    <row r="361" spans="2:4" ht="12.5" x14ac:dyDescent="0.25">
      <c r="B361" s="62"/>
      <c r="D361" s="62"/>
    </row>
    <row r="362" spans="2:4" ht="12.5" x14ac:dyDescent="0.25">
      <c r="B362" s="62"/>
      <c r="D362" s="62"/>
    </row>
    <row r="363" spans="2:4" ht="12.5" x14ac:dyDescent="0.25">
      <c r="B363" s="62"/>
      <c r="D363" s="62"/>
    </row>
    <row r="364" spans="2:4" ht="12.5" x14ac:dyDescent="0.25">
      <c r="B364" s="62"/>
      <c r="D364" s="62"/>
    </row>
    <row r="365" spans="2:4" ht="12.5" x14ac:dyDescent="0.25">
      <c r="B365" s="62"/>
      <c r="D365" s="62"/>
    </row>
    <row r="366" spans="2:4" ht="12.5" x14ac:dyDescent="0.25">
      <c r="B366" s="62"/>
      <c r="D366" s="62"/>
    </row>
    <row r="367" spans="2:4" ht="12.5" x14ac:dyDescent="0.25">
      <c r="B367" s="62"/>
      <c r="D367" s="62"/>
    </row>
    <row r="368" spans="2:4" ht="12.5" x14ac:dyDescent="0.25">
      <c r="B368" s="62"/>
      <c r="D368" s="62"/>
    </row>
    <row r="369" spans="2:4" ht="12.5" x14ac:dyDescent="0.25">
      <c r="B369" s="62"/>
      <c r="D369" s="62"/>
    </row>
    <row r="370" spans="2:4" ht="12.5" x14ac:dyDescent="0.25">
      <c r="B370" s="62"/>
      <c r="D370" s="62"/>
    </row>
    <row r="371" spans="2:4" ht="12.5" x14ac:dyDescent="0.25">
      <c r="B371" s="62"/>
      <c r="D371" s="62"/>
    </row>
    <row r="372" spans="2:4" ht="12.5" x14ac:dyDescent="0.25">
      <c r="B372" s="62"/>
      <c r="D372" s="62"/>
    </row>
    <row r="373" spans="2:4" ht="12.5" x14ac:dyDescent="0.25">
      <c r="B373" s="62"/>
      <c r="D373" s="62"/>
    </row>
    <row r="374" spans="2:4" ht="12.5" x14ac:dyDescent="0.25">
      <c r="B374" s="62"/>
      <c r="D374" s="62"/>
    </row>
    <row r="375" spans="2:4" ht="12.5" x14ac:dyDescent="0.25">
      <c r="B375" s="62"/>
      <c r="D375" s="62"/>
    </row>
    <row r="376" spans="2:4" ht="12.5" x14ac:dyDescent="0.25">
      <c r="B376" s="62"/>
      <c r="D376" s="62"/>
    </row>
    <row r="377" spans="2:4" ht="12.5" x14ac:dyDescent="0.25">
      <c r="B377" s="62"/>
      <c r="D377" s="62"/>
    </row>
    <row r="378" spans="2:4" ht="12.5" x14ac:dyDescent="0.25">
      <c r="B378" s="62"/>
      <c r="D378" s="62"/>
    </row>
    <row r="379" spans="2:4" ht="12.5" x14ac:dyDescent="0.25">
      <c r="B379" s="62"/>
      <c r="D379" s="62"/>
    </row>
    <row r="380" spans="2:4" ht="12.5" x14ac:dyDescent="0.25">
      <c r="B380" s="62"/>
      <c r="D380" s="62"/>
    </row>
    <row r="381" spans="2:4" ht="12.5" x14ac:dyDescent="0.25">
      <c r="B381" s="62"/>
      <c r="D381" s="62"/>
    </row>
    <row r="382" spans="2:4" ht="12.5" x14ac:dyDescent="0.25">
      <c r="B382" s="62"/>
      <c r="D382" s="62"/>
    </row>
    <row r="383" spans="2:4" ht="12.5" x14ac:dyDescent="0.25">
      <c r="B383" s="62"/>
      <c r="D383" s="62"/>
    </row>
    <row r="384" spans="2:4" ht="12.5" x14ac:dyDescent="0.25">
      <c r="B384" s="62"/>
      <c r="D384" s="62"/>
    </row>
    <row r="385" spans="2:4" ht="12.5" x14ac:dyDescent="0.25">
      <c r="B385" s="62"/>
      <c r="D385" s="62"/>
    </row>
    <row r="386" spans="2:4" ht="12.5" x14ac:dyDescent="0.25">
      <c r="B386" s="62"/>
      <c r="D386" s="62"/>
    </row>
    <row r="387" spans="2:4" ht="12.5" x14ac:dyDescent="0.25">
      <c r="B387" s="62"/>
      <c r="D387" s="62"/>
    </row>
    <row r="388" spans="2:4" ht="12.5" x14ac:dyDescent="0.25">
      <c r="B388" s="62"/>
      <c r="D388" s="62"/>
    </row>
    <row r="389" spans="2:4" ht="12.5" x14ac:dyDescent="0.25">
      <c r="B389" s="62"/>
      <c r="D389" s="62"/>
    </row>
    <row r="390" spans="2:4" ht="12.5" x14ac:dyDescent="0.25">
      <c r="B390" s="62"/>
      <c r="D390" s="62"/>
    </row>
    <row r="391" spans="2:4" ht="12.5" x14ac:dyDescent="0.25">
      <c r="B391" s="62"/>
      <c r="D391" s="62"/>
    </row>
    <row r="392" spans="2:4" ht="12.5" x14ac:dyDescent="0.25">
      <c r="B392" s="62"/>
      <c r="D392" s="62"/>
    </row>
    <row r="393" spans="2:4" ht="12.5" x14ac:dyDescent="0.25">
      <c r="B393" s="62"/>
      <c r="D393" s="62"/>
    </row>
    <row r="394" spans="2:4" ht="12.5" x14ac:dyDescent="0.25">
      <c r="B394" s="62"/>
      <c r="D394" s="62"/>
    </row>
    <row r="395" spans="2:4" ht="12.5" x14ac:dyDescent="0.25">
      <c r="B395" s="62"/>
      <c r="D395" s="62"/>
    </row>
    <row r="396" spans="2:4" ht="12.5" x14ac:dyDescent="0.25">
      <c r="B396" s="62"/>
      <c r="D396" s="62"/>
    </row>
    <row r="397" spans="2:4" ht="12.5" x14ac:dyDescent="0.25">
      <c r="B397" s="62"/>
      <c r="D397" s="62"/>
    </row>
    <row r="398" spans="2:4" ht="12.5" x14ac:dyDescent="0.25">
      <c r="B398" s="62"/>
      <c r="D398" s="62"/>
    </row>
    <row r="399" spans="2:4" ht="12.5" x14ac:dyDescent="0.25">
      <c r="B399" s="62"/>
      <c r="D399" s="62"/>
    </row>
    <row r="400" spans="2:4" ht="12.5" x14ac:dyDescent="0.25">
      <c r="B400" s="62"/>
      <c r="D400" s="62"/>
    </row>
    <row r="401" spans="2:4" ht="12.5" x14ac:dyDescent="0.25">
      <c r="B401" s="62"/>
      <c r="D401" s="62"/>
    </row>
    <row r="402" spans="2:4" ht="12.5" x14ac:dyDescent="0.25">
      <c r="B402" s="62"/>
      <c r="D402" s="62"/>
    </row>
    <row r="403" spans="2:4" ht="12.5" x14ac:dyDescent="0.25">
      <c r="B403" s="62"/>
      <c r="D403" s="62"/>
    </row>
    <row r="404" spans="2:4" ht="12.5" x14ac:dyDescent="0.25">
      <c r="B404" s="62"/>
      <c r="D404" s="62"/>
    </row>
    <row r="405" spans="2:4" ht="12.5" x14ac:dyDescent="0.25">
      <c r="B405" s="62"/>
      <c r="D405" s="62"/>
    </row>
    <row r="406" spans="2:4" ht="12.5" x14ac:dyDescent="0.25">
      <c r="B406" s="62"/>
      <c r="D406" s="62"/>
    </row>
    <row r="407" spans="2:4" ht="12.5" x14ac:dyDescent="0.25">
      <c r="B407" s="62"/>
      <c r="D407" s="62"/>
    </row>
    <row r="408" spans="2:4" ht="12.5" x14ac:dyDescent="0.25">
      <c r="B408" s="62"/>
      <c r="D408" s="62"/>
    </row>
    <row r="409" spans="2:4" ht="12.5" x14ac:dyDescent="0.25">
      <c r="B409" s="62"/>
      <c r="D409" s="62"/>
    </row>
    <row r="410" spans="2:4" ht="12.5" x14ac:dyDescent="0.25">
      <c r="B410" s="62"/>
      <c r="D410" s="62"/>
    </row>
    <row r="411" spans="2:4" ht="12.5" x14ac:dyDescent="0.25">
      <c r="B411" s="62"/>
      <c r="D411" s="62"/>
    </row>
    <row r="412" spans="2:4" ht="12.5" x14ac:dyDescent="0.25">
      <c r="B412" s="62"/>
      <c r="D412" s="62"/>
    </row>
    <row r="413" spans="2:4" ht="12.5" x14ac:dyDescent="0.25">
      <c r="B413" s="62"/>
      <c r="D413" s="62"/>
    </row>
    <row r="414" spans="2:4" ht="12.5" x14ac:dyDescent="0.25">
      <c r="B414" s="62"/>
      <c r="D414" s="62"/>
    </row>
    <row r="415" spans="2:4" ht="12.5" x14ac:dyDescent="0.25">
      <c r="B415" s="62"/>
      <c r="D415" s="62"/>
    </row>
    <row r="416" spans="2:4" ht="12.5" x14ac:dyDescent="0.25">
      <c r="B416" s="62"/>
      <c r="D416" s="62"/>
    </row>
    <row r="417" spans="2:4" ht="12.5" x14ac:dyDescent="0.25">
      <c r="B417" s="62"/>
      <c r="D417" s="62"/>
    </row>
    <row r="418" spans="2:4" ht="12.5" x14ac:dyDescent="0.25">
      <c r="B418" s="62"/>
      <c r="D418" s="62"/>
    </row>
    <row r="419" spans="2:4" ht="12.5" x14ac:dyDescent="0.25">
      <c r="B419" s="62"/>
      <c r="D419" s="62"/>
    </row>
    <row r="420" spans="2:4" ht="12.5" x14ac:dyDescent="0.25">
      <c r="B420" s="62"/>
      <c r="D420" s="62"/>
    </row>
    <row r="421" spans="2:4" ht="12.5" x14ac:dyDescent="0.25">
      <c r="B421" s="62"/>
      <c r="D421" s="62"/>
    </row>
    <row r="422" spans="2:4" ht="12.5" x14ac:dyDescent="0.25">
      <c r="B422" s="62"/>
      <c r="D422" s="62"/>
    </row>
    <row r="423" spans="2:4" ht="12.5" x14ac:dyDescent="0.25">
      <c r="B423" s="62"/>
      <c r="D423" s="62"/>
    </row>
    <row r="424" spans="2:4" ht="12.5" x14ac:dyDescent="0.25">
      <c r="B424" s="62"/>
      <c r="D424" s="62"/>
    </row>
    <row r="425" spans="2:4" ht="12.5" x14ac:dyDescent="0.25">
      <c r="B425" s="62"/>
      <c r="D425" s="62"/>
    </row>
    <row r="426" spans="2:4" ht="12.5" x14ac:dyDescent="0.25">
      <c r="B426" s="62"/>
      <c r="D426" s="62"/>
    </row>
    <row r="427" spans="2:4" ht="12.5" x14ac:dyDescent="0.25">
      <c r="B427" s="62"/>
      <c r="D427" s="62"/>
    </row>
    <row r="428" spans="2:4" ht="12.5" x14ac:dyDescent="0.25">
      <c r="B428" s="62"/>
      <c r="D428" s="62"/>
    </row>
    <row r="429" spans="2:4" ht="12.5" x14ac:dyDescent="0.25">
      <c r="B429" s="62"/>
      <c r="D429" s="62"/>
    </row>
    <row r="430" spans="2:4" ht="12.5" x14ac:dyDescent="0.25">
      <c r="B430" s="62"/>
      <c r="D430" s="62"/>
    </row>
    <row r="431" spans="2:4" ht="12.5" x14ac:dyDescent="0.25">
      <c r="B431" s="62"/>
      <c r="D431" s="62"/>
    </row>
    <row r="432" spans="2:4" ht="12.5" x14ac:dyDescent="0.25">
      <c r="B432" s="62"/>
      <c r="D432" s="62"/>
    </row>
    <row r="433" spans="2:4" ht="12.5" x14ac:dyDescent="0.25">
      <c r="B433" s="62"/>
      <c r="D433" s="62"/>
    </row>
    <row r="434" spans="2:4" ht="12.5" x14ac:dyDescent="0.25">
      <c r="B434" s="62"/>
      <c r="D434" s="62"/>
    </row>
    <row r="435" spans="2:4" ht="12.5" x14ac:dyDescent="0.25">
      <c r="B435" s="62"/>
      <c r="D435" s="62"/>
    </row>
    <row r="436" spans="2:4" ht="12.5" x14ac:dyDescent="0.25">
      <c r="B436" s="62"/>
      <c r="D436" s="62"/>
    </row>
    <row r="437" spans="2:4" ht="12.5" x14ac:dyDescent="0.25">
      <c r="B437" s="62"/>
      <c r="D437" s="62"/>
    </row>
    <row r="438" spans="2:4" ht="12.5" x14ac:dyDescent="0.25">
      <c r="B438" s="62"/>
      <c r="D438" s="62"/>
    </row>
    <row r="439" spans="2:4" ht="12.5" x14ac:dyDescent="0.25">
      <c r="B439" s="62"/>
      <c r="D439" s="62"/>
    </row>
    <row r="440" spans="2:4" ht="12.5" x14ac:dyDescent="0.25">
      <c r="B440" s="62"/>
      <c r="D440" s="62"/>
    </row>
    <row r="441" spans="2:4" ht="12.5" x14ac:dyDescent="0.25">
      <c r="B441" s="62"/>
      <c r="D441" s="62"/>
    </row>
    <row r="442" spans="2:4" ht="12.5" x14ac:dyDescent="0.25">
      <c r="B442" s="62"/>
      <c r="D442" s="62"/>
    </row>
    <row r="443" spans="2:4" ht="12.5" x14ac:dyDescent="0.25">
      <c r="B443" s="62"/>
      <c r="D443" s="62"/>
    </row>
    <row r="444" spans="2:4" ht="12.5" x14ac:dyDescent="0.25">
      <c r="B444" s="62"/>
      <c r="D444" s="62"/>
    </row>
    <row r="445" spans="2:4" ht="12.5" x14ac:dyDescent="0.25">
      <c r="B445" s="62"/>
      <c r="D445" s="62"/>
    </row>
    <row r="446" spans="2:4" ht="12.5" x14ac:dyDescent="0.25">
      <c r="B446" s="62"/>
      <c r="D446" s="62"/>
    </row>
    <row r="447" spans="2:4" ht="12.5" x14ac:dyDescent="0.25">
      <c r="B447" s="62"/>
      <c r="D447" s="62"/>
    </row>
    <row r="448" spans="2:4" ht="12.5" x14ac:dyDescent="0.25">
      <c r="B448" s="62"/>
      <c r="D448" s="62"/>
    </row>
    <row r="449" spans="2:4" ht="12.5" x14ac:dyDescent="0.25">
      <c r="B449" s="62"/>
      <c r="D449" s="62"/>
    </row>
    <row r="450" spans="2:4" ht="12.5" x14ac:dyDescent="0.25">
      <c r="B450" s="62"/>
      <c r="D450" s="62"/>
    </row>
    <row r="451" spans="2:4" ht="12.5" x14ac:dyDescent="0.25">
      <c r="B451" s="62"/>
      <c r="D451" s="62"/>
    </row>
    <row r="452" spans="2:4" ht="12.5" x14ac:dyDescent="0.25">
      <c r="B452" s="62"/>
      <c r="D452" s="62"/>
    </row>
    <row r="453" spans="2:4" ht="12.5" x14ac:dyDescent="0.25">
      <c r="B453" s="62"/>
      <c r="D453" s="62"/>
    </row>
    <row r="454" spans="2:4" ht="12.5" x14ac:dyDescent="0.25">
      <c r="B454" s="62"/>
      <c r="D454" s="62"/>
    </row>
    <row r="455" spans="2:4" ht="12.5" x14ac:dyDescent="0.25">
      <c r="B455" s="62"/>
      <c r="D455" s="62"/>
    </row>
    <row r="456" spans="2:4" ht="12.5" x14ac:dyDescent="0.25">
      <c r="B456" s="62"/>
      <c r="D456" s="62"/>
    </row>
    <row r="457" spans="2:4" ht="12.5" x14ac:dyDescent="0.25">
      <c r="B457" s="62"/>
      <c r="D457" s="62"/>
    </row>
    <row r="458" spans="2:4" ht="12.5" x14ac:dyDescent="0.25">
      <c r="B458" s="62"/>
      <c r="D458" s="62"/>
    </row>
    <row r="459" spans="2:4" ht="12.5" x14ac:dyDescent="0.25">
      <c r="B459" s="62"/>
      <c r="D459" s="62"/>
    </row>
    <row r="460" spans="2:4" ht="12.5" x14ac:dyDescent="0.25">
      <c r="B460" s="62"/>
      <c r="D460" s="62"/>
    </row>
    <row r="461" spans="2:4" ht="12.5" x14ac:dyDescent="0.25">
      <c r="B461" s="62"/>
      <c r="D461" s="62"/>
    </row>
    <row r="462" spans="2:4" ht="12.5" x14ac:dyDescent="0.25">
      <c r="B462" s="62"/>
      <c r="D462" s="62"/>
    </row>
    <row r="463" spans="2:4" ht="12.5" x14ac:dyDescent="0.25">
      <c r="B463" s="62"/>
      <c r="D463" s="62"/>
    </row>
    <row r="464" spans="2:4" ht="12.5" x14ac:dyDescent="0.25">
      <c r="B464" s="62"/>
      <c r="D464" s="62"/>
    </row>
    <row r="465" spans="2:4" ht="12.5" x14ac:dyDescent="0.25">
      <c r="B465" s="62"/>
      <c r="D465" s="62"/>
    </row>
    <row r="466" spans="2:4" ht="12.5" x14ac:dyDescent="0.25">
      <c r="B466" s="62"/>
      <c r="D466" s="62"/>
    </row>
    <row r="467" spans="2:4" ht="12.5" x14ac:dyDescent="0.25">
      <c r="B467" s="62"/>
      <c r="D467" s="62"/>
    </row>
    <row r="468" spans="2:4" ht="12.5" x14ac:dyDescent="0.25">
      <c r="B468" s="62"/>
      <c r="D468" s="62"/>
    </row>
    <row r="469" spans="2:4" ht="12.5" x14ac:dyDescent="0.25">
      <c r="B469" s="62"/>
      <c r="D469" s="62"/>
    </row>
    <row r="470" spans="2:4" ht="12.5" x14ac:dyDescent="0.25">
      <c r="B470" s="62"/>
      <c r="D470" s="62"/>
    </row>
    <row r="471" spans="2:4" ht="12.5" x14ac:dyDescent="0.25">
      <c r="B471" s="62"/>
      <c r="D471" s="62"/>
    </row>
    <row r="472" spans="2:4" ht="12.5" x14ac:dyDescent="0.25">
      <c r="B472" s="62"/>
      <c r="D472" s="62"/>
    </row>
    <row r="473" spans="2:4" ht="12.5" x14ac:dyDescent="0.25">
      <c r="B473" s="62"/>
      <c r="D473" s="62"/>
    </row>
    <row r="474" spans="2:4" ht="12.5" x14ac:dyDescent="0.25">
      <c r="B474" s="62"/>
      <c r="D474" s="62"/>
    </row>
    <row r="475" spans="2:4" ht="12.5" x14ac:dyDescent="0.25">
      <c r="B475" s="62"/>
      <c r="D475" s="62"/>
    </row>
    <row r="476" spans="2:4" ht="12.5" x14ac:dyDescent="0.25">
      <c r="B476" s="62"/>
      <c r="D476" s="62"/>
    </row>
    <row r="477" spans="2:4" ht="12.5" x14ac:dyDescent="0.25">
      <c r="B477" s="62"/>
      <c r="D477" s="62"/>
    </row>
    <row r="478" spans="2:4" ht="12.5" x14ac:dyDescent="0.25">
      <c r="B478" s="62"/>
      <c r="D478" s="62"/>
    </row>
    <row r="479" spans="2:4" ht="12.5" x14ac:dyDescent="0.25">
      <c r="B479" s="62"/>
      <c r="D479" s="62"/>
    </row>
    <row r="480" spans="2:4" ht="12.5" x14ac:dyDescent="0.25">
      <c r="B480" s="62"/>
      <c r="D480" s="62"/>
    </row>
    <row r="481" spans="2:4" ht="12.5" x14ac:dyDescent="0.25">
      <c r="B481" s="62"/>
      <c r="D481" s="62"/>
    </row>
    <row r="482" spans="2:4" ht="12.5" x14ac:dyDescent="0.25">
      <c r="B482" s="62"/>
      <c r="D482" s="62"/>
    </row>
    <row r="483" spans="2:4" ht="12.5" x14ac:dyDescent="0.25">
      <c r="B483" s="62"/>
      <c r="D483" s="62"/>
    </row>
    <row r="484" spans="2:4" ht="12.5" x14ac:dyDescent="0.25">
      <c r="B484" s="62"/>
      <c r="D484" s="62"/>
    </row>
    <row r="485" spans="2:4" ht="12.5" x14ac:dyDescent="0.25">
      <c r="B485" s="62"/>
      <c r="D485" s="62"/>
    </row>
    <row r="486" spans="2:4" ht="12.5" x14ac:dyDescent="0.25">
      <c r="B486" s="62"/>
      <c r="D486" s="62"/>
    </row>
    <row r="487" spans="2:4" ht="12.5" x14ac:dyDescent="0.25">
      <c r="B487" s="62"/>
      <c r="D487" s="62"/>
    </row>
    <row r="488" spans="2:4" ht="12.5" x14ac:dyDescent="0.25">
      <c r="B488" s="62"/>
      <c r="D488" s="62"/>
    </row>
    <row r="489" spans="2:4" ht="12.5" x14ac:dyDescent="0.25">
      <c r="B489" s="62"/>
      <c r="D489" s="62"/>
    </row>
    <row r="490" spans="2:4" ht="12.5" x14ac:dyDescent="0.25">
      <c r="B490" s="62"/>
      <c r="D490" s="62"/>
    </row>
    <row r="491" spans="2:4" ht="12.5" x14ac:dyDescent="0.25">
      <c r="B491" s="62"/>
      <c r="D491" s="62"/>
    </row>
    <row r="492" spans="2:4" ht="12.5" x14ac:dyDescent="0.25">
      <c r="B492" s="62"/>
      <c r="D492" s="62"/>
    </row>
    <row r="493" spans="2:4" ht="12.5" x14ac:dyDescent="0.25">
      <c r="B493" s="62"/>
      <c r="D493" s="62"/>
    </row>
    <row r="494" spans="2:4" ht="12.5" x14ac:dyDescent="0.25">
      <c r="B494" s="62"/>
      <c r="D494" s="62"/>
    </row>
    <row r="495" spans="2:4" ht="12.5" x14ac:dyDescent="0.25">
      <c r="B495" s="62"/>
      <c r="D495" s="62"/>
    </row>
    <row r="496" spans="2:4" ht="12.5" x14ac:dyDescent="0.25">
      <c r="B496" s="62"/>
      <c r="D496" s="62"/>
    </row>
    <row r="497" spans="2:4" ht="12.5" x14ac:dyDescent="0.25">
      <c r="B497" s="62"/>
      <c r="D497" s="62"/>
    </row>
    <row r="498" spans="2:4" ht="12.5" x14ac:dyDescent="0.25">
      <c r="B498" s="62"/>
      <c r="D498" s="62"/>
    </row>
    <row r="499" spans="2:4" ht="12.5" x14ac:dyDescent="0.25">
      <c r="B499" s="62"/>
      <c r="D499" s="62"/>
    </row>
    <row r="500" spans="2:4" ht="12.5" x14ac:dyDescent="0.25">
      <c r="B500" s="62"/>
      <c r="D500" s="62"/>
    </row>
    <row r="501" spans="2:4" ht="12.5" x14ac:dyDescent="0.25">
      <c r="B501" s="62"/>
      <c r="D501" s="62"/>
    </row>
    <row r="502" spans="2:4" ht="12.5" x14ac:dyDescent="0.25">
      <c r="B502" s="62"/>
      <c r="D502" s="62"/>
    </row>
    <row r="503" spans="2:4" ht="12.5" x14ac:dyDescent="0.25">
      <c r="B503" s="62"/>
      <c r="D503" s="62"/>
    </row>
    <row r="504" spans="2:4" ht="12.5" x14ac:dyDescent="0.25">
      <c r="B504" s="62"/>
      <c r="D504" s="62"/>
    </row>
    <row r="505" spans="2:4" ht="12.5" x14ac:dyDescent="0.25">
      <c r="B505" s="62"/>
      <c r="D505" s="62"/>
    </row>
    <row r="506" spans="2:4" ht="12.5" x14ac:dyDescent="0.25">
      <c r="B506" s="62"/>
      <c r="D506" s="62"/>
    </row>
    <row r="507" spans="2:4" ht="12.5" x14ac:dyDescent="0.25">
      <c r="B507" s="62"/>
      <c r="D507" s="62"/>
    </row>
    <row r="508" spans="2:4" ht="12.5" x14ac:dyDescent="0.25">
      <c r="B508" s="62"/>
      <c r="D508" s="62"/>
    </row>
    <row r="509" spans="2:4" ht="12.5" x14ac:dyDescent="0.25">
      <c r="B509" s="62"/>
      <c r="D509" s="62"/>
    </row>
    <row r="510" spans="2:4" ht="12.5" x14ac:dyDescent="0.25">
      <c r="B510" s="62"/>
      <c r="D510" s="62"/>
    </row>
    <row r="511" spans="2:4" ht="12.5" x14ac:dyDescent="0.25">
      <c r="B511" s="62"/>
      <c r="D511" s="62"/>
    </row>
    <row r="512" spans="2:4" ht="12.5" x14ac:dyDescent="0.25">
      <c r="B512" s="62"/>
      <c r="D512" s="62"/>
    </row>
    <row r="513" spans="2:4" ht="12.5" x14ac:dyDescent="0.25">
      <c r="B513" s="62"/>
      <c r="D513" s="62"/>
    </row>
    <row r="514" spans="2:4" ht="12.5" x14ac:dyDescent="0.25">
      <c r="B514" s="62"/>
      <c r="D514" s="62"/>
    </row>
    <row r="515" spans="2:4" ht="12.5" x14ac:dyDescent="0.25">
      <c r="B515" s="62"/>
      <c r="D515" s="62"/>
    </row>
    <row r="516" spans="2:4" ht="12.5" x14ac:dyDescent="0.25">
      <c r="B516" s="62"/>
      <c r="D516" s="62"/>
    </row>
    <row r="517" spans="2:4" ht="12.5" x14ac:dyDescent="0.25">
      <c r="B517" s="62"/>
      <c r="D517" s="62"/>
    </row>
    <row r="518" spans="2:4" ht="12.5" x14ac:dyDescent="0.25">
      <c r="B518" s="62"/>
      <c r="D518" s="62"/>
    </row>
    <row r="519" spans="2:4" ht="12.5" x14ac:dyDescent="0.25">
      <c r="B519" s="62"/>
      <c r="D519" s="62"/>
    </row>
    <row r="520" spans="2:4" ht="12.5" x14ac:dyDescent="0.25">
      <c r="B520" s="62"/>
      <c r="D520" s="62"/>
    </row>
    <row r="521" spans="2:4" ht="12.5" x14ac:dyDescent="0.25">
      <c r="B521" s="62"/>
      <c r="D521" s="62"/>
    </row>
    <row r="522" spans="2:4" ht="12.5" x14ac:dyDescent="0.25">
      <c r="B522" s="62"/>
      <c r="D522" s="62"/>
    </row>
    <row r="523" spans="2:4" ht="12.5" x14ac:dyDescent="0.25">
      <c r="B523" s="62"/>
      <c r="D523" s="62"/>
    </row>
    <row r="524" spans="2:4" ht="12.5" x14ac:dyDescent="0.25">
      <c r="B524" s="62"/>
      <c r="D524" s="62"/>
    </row>
    <row r="525" spans="2:4" ht="12.5" x14ac:dyDescent="0.25">
      <c r="B525" s="62"/>
      <c r="D525" s="62"/>
    </row>
    <row r="526" spans="2:4" ht="12.5" x14ac:dyDescent="0.25">
      <c r="B526" s="62"/>
      <c r="D526" s="62"/>
    </row>
    <row r="527" spans="2:4" ht="12.5" x14ac:dyDescent="0.25">
      <c r="B527" s="62"/>
      <c r="D527" s="62"/>
    </row>
    <row r="528" spans="2:4" ht="12.5" x14ac:dyDescent="0.25">
      <c r="B528" s="62"/>
      <c r="D528" s="62"/>
    </row>
    <row r="529" spans="2:4" ht="12.5" x14ac:dyDescent="0.25">
      <c r="B529" s="62"/>
      <c r="D529" s="62"/>
    </row>
    <row r="530" spans="2:4" ht="12.5" x14ac:dyDescent="0.25">
      <c r="B530" s="62"/>
      <c r="D530" s="62"/>
    </row>
    <row r="531" spans="2:4" ht="12.5" x14ac:dyDescent="0.25">
      <c r="B531" s="62"/>
      <c r="D531" s="62"/>
    </row>
    <row r="532" spans="2:4" ht="12.5" x14ac:dyDescent="0.25">
      <c r="B532" s="62"/>
      <c r="D532" s="62"/>
    </row>
    <row r="533" spans="2:4" ht="12.5" x14ac:dyDescent="0.25">
      <c r="B533" s="62"/>
      <c r="D533" s="62"/>
    </row>
    <row r="534" spans="2:4" ht="12.5" x14ac:dyDescent="0.25">
      <c r="B534" s="62"/>
      <c r="D534" s="62"/>
    </row>
    <row r="535" spans="2:4" ht="12.5" x14ac:dyDescent="0.25">
      <c r="B535" s="62"/>
      <c r="D535" s="62"/>
    </row>
    <row r="536" spans="2:4" ht="12.5" x14ac:dyDescent="0.25">
      <c r="B536" s="62"/>
      <c r="D536" s="62"/>
    </row>
    <row r="537" spans="2:4" ht="12.5" x14ac:dyDescent="0.25">
      <c r="B537" s="62"/>
      <c r="D537" s="62"/>
    </row>
    <row r="538" spans="2:4" ht="12.5" x14ac:dyDescent="0.25">
      <c r="B538" s="62"/>
      <c r="D538" s="62"/>
    </row>
    <row r="539" spans="2:4" ht="12.5" x14ac:dyDescent="0.25">
      <c r="B539" s="62"/>
      <c r="D539" s="62"/>
    </row>
    <row r="540" spans="2:4" ht="12.5" x14ac:dyDescent="0.25">
      <c r="B540" s="62"/>
      <c r="D540" s="62"/>
    </row>
    <row r="541" spans="2:4" ht="12.5" x14ac:dyDescent="0.25">
      <c r="B541" s="62"/>
      <c r="D541" s="62"/>
    </row>
    <row r="542" spans="2:4" ht="12.5" x14ac:dyDescent="0.25">
      <c r="B542" s="62"/>
      <c r="D542" s="62"/>
    </row>
    <row r="543" spans="2:4" ht="12.5" x14ac:dyDescent="0.25">
      <c r="B543" s="62"/>
      <c r="D543" s="62"/>
    </row>
    <row r="544" spans="2:4" ht="12.5" x14ac:dyDescent="0.25">
      <c r="B544" s="62"/>
      <c r="D544" s="62"/>
    </row>
    <row r="545" spans="2:4" ht="12.5" x14ac:dyDescent="0.25">
      <c r="B545" s="62"/>
      <c r="D545" s="62"/>
    </row>
    <row r="546" spans="2:4" ht="12.5" x14ac:dyDescent="0.25">
      <c r="B546" s="62"/>
      <c r="D546" s="62"/>
    </row>
    <row r="547" spans="2:4" ht="12.5" x14ac:dyDescent="0.25">
      <c r="B547" s="62"/>
      <c r="D547" s="62"/>
    </row>
    <row r="548" spans="2:4" ht="12.5" x14ac:dyDescent="0.25">
      <c r="B548" s="62"/>
      <c r="D548" s="62"/>
    </row>
    <row r="549" spans="2:4" ht="12.5" x14ac:dyDescent="0.25">
      <c r="B549" s="62"/>
      <c r="D549" s="62"/>
    </row>
    <row r="550" spans="2:4" ht="12.5" x14ac:dyDescent="0.25">
      <c r="B550" s="62"/>
      <c r="D550" s="62"/>
    </row>
    <row r="551" spans="2:4" ht="12.5" x14ac:dyDescent="0.25">
      <c r="B551" s="62"/>
      <c r="D551" s="62"/>
    </row>
    <row r="552" spans="2:4" ht="12.5" x14ac:dyDescent="0.25">
      <c r="B552" s="62"/>
      <c r="D552" s="62"/>
    </row>
    <row r="553" spans="2:4" ht="12.5" x14ac:dyDescent="0.25">
      <c r="B553" s="62"/>
      <c r="D553" s="62"/>
    </row>
    <row r="554" spans="2:4" ht="12.5" x14ac:dyDescent="0.25">
      <c r="B554" s="62"/>
      <c r="D554" s="62"/>
    </row>
    <row r="555" spans="2:4" ht="12.5" x14ac:dyDescent="0.25">
      <c r="B555" s="62"/>
      <c r="D555" s="62"/>
    </row>
    <row r="556" spans="2:4" ht="12.5" x14ac:dyDescent="0.25">
      <c r="B556" s="62"/>
      <c r="D556" s="62"/>
    </row>
    <row r="557" spans="2:4" ht="12.5" x14ac:dyDescent="0.25">
      <c r="B557" s="62"/>
      <c r="D557" s="62"/>
    </row>
    <row r="558" spans="2:4" ht="12.5" x14ac:dyDescent="0.25">
      <c r="B558" s="62"/>
      <c r="D558" s="62"/>
    </row>
    <row r="559" spans="2:4" ht="12.5" x14ac:dyDescent="0.25">
      <c r="B559" s="62"/>
      <c r="D559" s="62"/>
    </row>
    <row r="560" spans="2:4" ht="12.5" x14ac:dyDescent="0.25">
      <c r="B560" s="62"/>
      <c r="D560" s="62"/>
    </row>
    <row r="561" spans="2:4" ht="12.5" x14ac:dyDescent="0.25">
      <c r="B561" s="62"/>
      <c r="D561" s="62"/>
    </row>
    <row r="562" spans="2:4" ht="12.5" x14ac:dyDescent="0.25">
      <c r="B562" s="62"/>
      <c r="D562" s="62"/>
    </row>
    <row r="563" spans="2:4" ht="12.5" x14ac:dyDescent="0.25">
      <c r="B563" s="62"/>
      <c r="D563" s="62"/>
    </row>
    <row r="564" spans="2:4" ht="12.5" x14ac:dyDescent="0.25">
      <c r="B564" s="62"/>
      <c r="D564" s="62"/>
    </row>
    <row r="565" spans="2:4" ht="12.5" x14ac:dyDescent="0.25">
      <c r="B565" s="62"/>
      <c r="D565" s="62"/>
    </row>
    <row r="566" spans="2:4" ht="12.5" x14ac:dyDescent="0.25">
      <c r="B566" s="62"/>
      <c r="D566" s="62"/>
    </row>
    <row r="567" spans="2:4" ht="12.5" x14ac:dyDescent="0.25">
      <c r="B567" s="62"/>
      <c r="D567" s="62"/>
    </row>
    <row r="568" spans="2:4" ht="12.5" x14ac:dyDescent="0.25">
      <c r="B568" s="62"/>
      <c r="D568" s="62"/>
    </row>
    <row r="569" spans="2:4" ht="12.5" x14ac:dyDescent="0.25">
      <c r="B569" s="62"/>
      <c r="D569" s="62"/>
    </row>
    <row r="570" spans="2:4" ht="12.5" x14ac:dyDescent="0.25">
      <c r="B570" s="62"/>
      <c r="D570" s="62"/>
    </row>
    <row r="571" spans="2:4" ht="12.5" x14ac:dyDescent="0.25">
      <c r="B571" s="62"/>
      <c r="D571" s="62"/>
    </row>
    <row r="572" spans="2:4" ht="12.5" x14ac:dyDescent="0.25">
      <c r="B572" s="62"/>
      <c r="D572" s="62"/>
    </row>
    <row r="573" spans="2:4" ht="12.5" x14ac:dyDescent="0.25">
      <c r="B573" s="62"/>
      <c r="D573" s="62"/>
    </row>
    <row r="574" spans="2:4" ht="12.5" x14ac:dyDescent="0.25">
      <c r="B574" s="62"/>
      <c r="D574" s="62"/>
    </row>
    <row r="575" spans="2:4" ht="12.5" x14ac:dyDescent="0.25">
      <c r="B575" s="62"/>
      <c r="D575" s="62"/>
    </row>
    <row r="576" spans="2:4" ht="12.5" x14ac:dyDescent="0.25">
      <c r="B576" s="62"/>
      <c r="D576" s="62"/>
    </row>
    <row r="577" spans="2:4" ht="12.5" x14ac:dyDescent="0.25">
      <c r="B577" s="62"/>
      <c r="D577" s="62"/>
    </row>
    <row r="578" spans="2:4" ht="12.5" x14ac:dyDescent="0.25">
      <c r="B578" s="62"/>
      <c r="D578" s="62"/>
    </row>
    <row r="579" spans="2:4" ht="12.5" x14ac:dyDescent="0.25">
      <c r="B579" s="62"/>
      <c r="D579" s="62"/>
    </row>
    <row r="580" spans="2:4" ht="12.5" x14ac:dyDescent="0.25">
      <c r="B580" s="62"/>
      <c r="D580" s="62"/>
    </row>
    <row r="581" spans="2:4" ht="12.5" x14ac:dyDescent="0.25">
      <c r="B581" s="62"/>
      <c r="D581" s="62"/>
    </row>
    <row r="582" spans="2:4" ht="12.5" x14ac:dyDescent="0.25">
      <c r="B582" s="62"/>
      <c r="D582" s="62"/>
    </row>
    <row r="583" spans="2:4" ht="12.5" x14ac:dyDescent="0.25">
      <c r="B583" s="62"/>
      <c r="D583" s="62"/>
    </row>
    <row r="584" spans="2:4" ht="12.5" x14ac:dyDescent="0.25">
      <c r="B584" s="62"/>
      <c r="D584" s="62"/>
    </row>
    <row r="585" spans="2:4" ht="12.5" x14ac:dyDescent="0.25">
      <c r="B585" s="62"/>
      <c r="D585" s="62"/>
    </row>
    <row r="586" spans="2:4" ht="12.5" x14ac:dyDescent="0.25">
      <c r="B586" s="62"/>
      <c r="D586" s="62"/>
    </row>
    <row r="587" spans="2:4" ht="12.5" x14ac:dyDescent="0.25">
      <c r="B587" s="62"/>
      <c r="D587" s="62"/>
    </row>
    <row r="588" spans="2:4" ht="12.5" x14ac:dyDescent="0.25">
      <c r="B588" s="62"/>
      <c r="D588" s="62"/>
    </row>
    <row r="589" spans="2:4" ht="12.5" x14ac:dyDescent="0.25">
      <c r="B589" s="62"/>
      <c r="D589" s="62"/>
    </row>
    <row r="590" spans="2:4" ht="12.5" x14ac:dyDescent="0.25">
      <c r="B590" s="62"/>
      <c r="D590" s="62"/>
    </row>
    <row r="591" spans="2:4" ht="12.5" x14ac:dyDescent="0.25">
      <c r="B591" s="62"/>
      <c r="D591" s="62"/>
    </row>
    <row r="592" spans="2:4" ht="12.5" x14ac:dyDescent="0.25">
      <c r="B592" s="62"/>
      <c r="D592" s="62"/>
    </row>
    <row r="593" spans="2:4" ht="12.5" x14ac:dyDescent="0.25">
      <c r="B593" s="62"/>
      <c r="D593" s="62"/>
    </row>
    <row r="594" spans="2:4" ht="12.5" x14ac:dyDescent="0.25">
      <c r="B594" s="62"/>
      <c r="D594" s="62"/>
    </row>
    <row r="595" spans="2:4" ht="12.5" x14ac:dyDescent="0.25">
      <c r="B595" s="62"/>
      <c r="D595" s="62"/>
    </row>
    <row r="596" spans="2:4" ht="12.5" x14ac:dyDescent="0.25">
      <c r="B596" s="62"/>
      <c r="D596" s="62"/>
    </row>
    <row r="597" spans="2:4" ht="12.5" x14ac:dyDescent="0.25">
      <c r="B597" s="62"/>
      <c r="D597" s="62"/>
    </row>
    <row r="598" spans="2:4" ht="12.5" x14ac:dyDescent="0.25">
      <c r="B598" s="62"/>
      <c r="D598" s="62"/>
    </row>
    <row r="599" spans="2:4" ht="12.5" x14ac:dyDescent="0.25">
      <c r="B599" s="62"/>
      <c r="D599" s="62"/>
    </row>
    <row r="600" spans="2:4" ht="12.5" x14ac:dyDescent="0.25">
      <c r="B600" s="62"/>
      <c r="D600" s="62"/>
    </row>
    <row r="601" spans="2:4" ht="12.5" x14ac:dyDescent="0.25">
      <c r="B601" s="62"/>
      <c r="D601" s="62"/>
    </row>
    <row r="602" spans="2:4" ht="12.5" x14ac:dyDescent="0.25">
      <c r="B602" s="62"/>
      <c r="D602" s="62"/>
    </row>
    <row r="603" spans="2:4" ht="12.5" x14ac:dyDescent="0.25">
      <c r="B603" s="62"/>
      <c r="D603" s="62"/>
    </row>
    <row r="604" spans="2:4" ht="12.5" x14ac:dyDescent="0.25">
      <c r="B604" s="62"/>
      <c r="D604" s="62"/>
    </row>
    <row r="605" spans="2:4" ht="12.5" x14ac:dyDescent="0.25">
      <c r="B605" s="62"/>
      <c r="D605" s="62"/>
    </row>
    <row r="606" spans="2:4" ht="12.5" x14ac:dyDescent="0.25">
      <c r="B606" s="62"/>
      <c r="D606" s="62"/>
    </row>
    <row r="607" spans="2:4" ht="12.5" x14ac:dyDescent="0.25">
      <c r="B607" s="62"/>
      <c r="D607" s="62"/>
    </row>
    <row r="608" spans="2:4" ht="12.5" x14ac:dyDescent="0.25">
      <c r="B608" s="62"/>
      <c r="D608" s="62"/>
    </row>
    <row r="609" spans="2:4" ht="12.5" x14ac:dyDescent="0.25">
      <c r="B609" s="62"/>
      <c r="D609" s="62"/>
    </row>
    <row r="610" spans="2:4" ht="12.5" x14ac:dyDescent="0.25">
      <c r="B610" s="62"/>
      <c r="D610" s="62"/>
    </row>
    <row r="611" spans="2:4" ht="12.5" x14ac:dyDescent="0.25">
      <c r="B611" s="62"/>
      <c r="D611" s="62"/>
    </row>
    <row r="612" spans="2:4" ht="12.5" x14ac:dyDescent="0.25">
      <c r="B612" s="62"/>
      <c r="D612" s="62"/>
    </row>
    <row r="613" spans="2:4" ht="12.5" x14ac:dyDescent="0.25">
      <c r="B613" s="62"/>
      <c r="D613" s="62"/>
    </row>
    <row r="614" spans="2:4" ht="12.5" x14ac:dyDescent="0.25">
      <c r="B614" s="62"/>
      <c r="D614" s="62"/>
    </row>
    <row r="615" spans="2:4" ht="12.5" x14ac:dyDescent="0.25">
      <c r="B615" s="62"/>
      <c r="D615" s="62"/>
    </row>
    <row r="616" spans="2:4" ht="12.5" x14ac:dyDescent="0.25">
      <c r="B616" s="62"/>
      <c r="D616" s="62"/>
    </row>
    <row r="617" spans="2:4" ht="12.5" x14ac:dyDescent="0.25">
      <c r="B617" s="62"/>
      <c r="D617" s="62"/>
    </row>
    <row r="618" spans="2:4" ht="12.5" x14ac:dyDescent="0.25">
      <c r="B618" s="62"/>
      <c r="D618" s="62"/>
    </row>
    <row r="619" spans="2:4" ht="12.5" x14ac:dyDescent="0.25">
      <c r="B619" s="62"/>
      <c r="D619" s="62"/>
    </row>
    <row r="620" spans="2:4" ht="12.5" x14ac:dyDescent="0.25">
      <c r="B620" s="62"/>
      <c r="D620" s="62"/>
    </row>
    <row r="621" spans="2:4" ht="12.5" x14ac:dyDescent="0.25">
      <c r="B621" s="62"/>
      <c r="D621" s="62"/>
    </row>
    <row r="622" spans="2:4" ht="12.5" x14ac:dyDescent="0.25">
      <c r="B622" s="62"/>
      <c r="D622" s="62"/>
    </row>
    <row r="623" spans="2:4" ht="12.5" x14ac:dyDescent="0.25">
      <c r="B623" s="62"/>
      <c r="D623" s="62"/>
    </row>
    <row r="624" spans="2:4" ht="12.5" x14ac:dyDescent="0.25">
      <c r="B624" s="62"/>
      <c r="D624" s="62"/>
    </row>
    <row r="625" spans="2:4" ht="12.5" x14ac:dyDescent="0.25">
      <c r="B625" s="62"/>
      <c r="D625" s="62"/>
    </row>
    <row r="626" spans="2:4" ht="12.5" x14ac:dyDescent="0.25">
      <c r="B626" s="62"/>
      <c r="D626" s="62"/>
    </row>
    <row r="627" spans="2:4" ht="12.5" x14ac:dyDescent="0.25">
      <c r="B627" s="62"/>
      <c r="D627" s="62"/>
    </row>
    <row r="628" spans="2:4" ht="12.5" x14ac:dyDescent="0.25">
      <c r="B628" s="62"/>
      <c r="D628" s="62"/>
    </row>
    <row r="629" spans="2:4" ht="12.5" x14ac:dyDescent="0.25">
      <c r="B629" s="62"/>
      <c r="D629" s="62"/>
    </row>
    <row r="630" spans="2:4" ht="12.5" x14ac:dyDescent="0.25">
      <c r="B630" s="62"/>
      <c r="D630" s="62"/>
    </row>
    <row r="631" spans="2:4" ht="12.5" x14ac:dyDescent="0.25">
      <c r="B631" s="62"/>
      <c r="D631" s="62"/>
    </row>
    <row r="632" spans="2:4" ht="12.5" x14ac:dyDescent="0.25">
      <c r="B632" s="62"/>
      <c r="D632" s="62"/>
    </row>
    <row r="633" spans="2:4" ht="12.5" x14ac:dyDescent="0.25">
      <c r="B633" s="62"/>
      <c r="D633" s="62"/>
    </row>
    <row r="634" spans="2:4" ht="12.5" x14ac:dyDescent="0.25">
      <c r="B634" s="62"/>
      <c r="D634" s="62"/>
    </row>
    <row r="635" spans="2:4" ht="12.5" x14ac:dyDescent="0.25">
      <c r="B635" s="62"/>
      <c r="D635" s="62"/>
    </row>
    <row r="636" spans="2:4" ht="12.5" x14ac:dyDescent="0.25">
      <c r="B636" s="62"/>
      <c r="D636" s="62"/>
    </row>
    <row r="637" spans="2:4" ht="12.5" x14ac:dyDescent="0.25">
      <c r="B637" s="62"/>
      <c r="D637" s="62"/>
    </row>
    <row r="638" spans="2:4" ht="12.5" x14ac:dyDescent="0.25">
      <c r="B638" s="62"/>
      <c r="D638" s="62"/>
    </row>
    <row r="639" spans="2:4" ht="12.5" x14ac:dyDescent="0.25">
      <c r="B639" s="62"/>
      <c r="D639" s="62"/>
    </row>
    <row r="640" spans="2:4" ht="12.5" x14ac:dyDescent="0.25">
      <c r="B640" s="62"/>
      <c r="D640" s="62"/>
    </row>
    <row r="641" spans="2:4" ht="12.5" x14ac:dyDescent="0.25">
      <c r="B641" s="62"/>
      <c r="D641" s="62"/>
    </row>
    <row r="642" spans="2:4" ht="12.5" x14ac:dyDescent="0.25">
      <c r="B642" s="62"/>
      <c r="D642" s="62"/>
    </row>
    <row r="643" spans="2:4" ht="12.5" x14ac:dyDescent="0.25">
      <c r="B643" s="62"/>
      <c r="D643" s="62"/>
    </row>
    <row r="644" spans="2:4" ht="12.5" x14ac:dyDescent="0.25">
      <c r="B644" s="62"/>
      <c r="D644" s="62"/>
    </row>
    <row r="645" spans="2:4" ht="12.5" x14ac:dyDescent="0.25">
      <c r="B645" s="62"/>
      <c r="D645" s="62"/>
    </row>
    <row r="646" spans="2:4" ht="12.5" x14ac:dyDescent="0.25">
      <c r="B646" s="62"/>
      <c r="D646" s="62"/>
    </row>
    <row r="647" spans="2:4" ht="12.5" x14ac:dyDescent="0.25">
      <c r="B647" s="62"/>
      <c r="D647" s="62"/>
    </row>
    <row r="648" spans="2:4" ht="12.5" x14ac:dyDescent="0.25">
      <c r="B648" s="62"/>
      <c r="D648" s="62"/>
    </row>
    <row r="649" spans="2:4" ht="12.5" x14ac:dyDescent="0.25">
      <c r="B649" s="62"/>
      <c r="D649" s="62"/>
    </row>
    <row r="650" spans="2:4" ht="12.5" x14ac:dyDescent="0.25">
      <c r="B650" s="62"/>
      <c r="D650" s="62"/>
    </row>
    <row r="651" spans="2:4" ht="12.5" x14ac:dyDescent="0.25">
      <c r="B651" s="62"/>
      <c r="D651" s="62"/>
    </row>
    <row r="652" spans="2:4" ht="12.5" x14ac:dyDescent="0.25">
      <c r="B652" s="62"/>
      <c r="D652" s="62"/>
    </row>
    <row r="653" spans="2:4" ht="12.5" x14ac:dyDescent="0.25">
      <c r="B653" s="62"/>
      <c r="D653" s="62"/>
    </row>
    <row r="654" spans="2:4" ht="12.5" x14ac:dyDescent="0.25">
      <c r="B654" s="62"/>
      <c r="D654" s="62"/>
    </row>
    <row r="655" spans="2:4" ht="12.5" x14ac:dyDescent="0.25">
      <c r="B655" s="62"/>
      <c r="D655" s="62"/>
    </row>
    <row r="656" spans="2:4" ht="12.5" x14ac:dyDescent="0.25">
      <c r="B656" s="62"/>
      <c r="D656" s="62"/>
    </row>
    <row r="657" spans="2:4" ht="12.5" x14ac:dyDescent="0.25">
      <c r="B657" s="62"/>
      <c r="D657" s="62"/>
    </row>
    <row r="658" spans="2:4" ht="12.5" x14ac:dyDescent="0.25">
      <c r="B658" s="62"/>
      <c r="D658" s="62"/>
    </row>
    <row r="659" spans="2:4" ht="12.5" x14ac:dyDescent="0.25">
      <c r="B659" s="62"/>
      <c r="D659" s="62"/>
    </row>
    <row r="660" spans="2:4" ht="12.5" x14ac:dyDescent="0.25">
      <c r="B660" s="62"/>
      <c r="D660" s="62"/>
    </row>
    <row r="661" spans="2:4" ht="12.5" x14ac:dyDescent="0.25">
      <c r="B661" s="62"/>
      <c r="D661" s="62"/>
    </row>
    <row r="662" spans="2:4" ht="12.5" x14ac:dyDescent="0.25">
      <c r="B662" s="62"/>
      <c r="D662" s="62"/>
    </row>
    <row r="663" spans="2:4" ht="12.5" x14ac:dyDescent="0.25">
      <c r="B663" s="62"/>
      <c r="D663" s="62"/>
    </row>
    <row r="664" spans="2:4" ht="12.5" x14ac:dyDescent="0.25">
      <c r="B664" s="62"/>
      <c r="D664" s="62"/>
    </row>
    <row r="665" spans="2:4" ht="12.5" x14ac:dyDescent="0.25">
      <c r="B665" s="62"/>
      <c r="D665" s="62"/>
    </row>
    <row r="666" spans="2:4" ht="12.5" x14ac:dyDescent="0.25">
      <c r="B666" s="62"/>
      <c r="D666" s="62"/>
    </row>
    <row r="667" spans="2:4" ht="12.5" x14ac:dyDescent="0.25">
      <c r="B667" s="62"/>
      <c r="D667" s="62"/>
    </row>
    <row r="668" spans="2:4" ht="12.5" x14ac:dyDescent="0.25">
      <c r="B668" s="62"/>
      <c r="D668" s="62"/>
    </row>
    <row r="669" spans="2:4" ht="12.5" x14ac:dyDescent="0.25">
      <c r="B669" s="62"/>
      <c r="D669" s="62"/>
    </row>
    <row r="670" spans="2:4" ht="12.5" x14ac:dyDescent="0.25">
      <c r="B670" s="62"/>
      <c r="D670" s="62"/>
    </row>
    <row r="671" spans="2:4" ht="12.5" x14ac:dyDescent="0.25">
      <c r="B671" s="62"/>
      <c r="D671" s="62"/>
    </row>
    <row r="672" spans="2:4" ht="12.5" x14ac:dyDescent="0.25">
      <c r="B672" s="62"/>
      <c r="D672" s="62"/>
    </row>
    <row r="673" spans="2:4" ht="12.5" x14ac:dyDescent="0.25">
      <c r="B673" s="62"/>
      <c r="D673" s="62"/>
    </row>
    <row r="674" spans="2:4" ht="12.5" x14ac:dyDescent="0.25">
      <c r="B674" s="62"/>
      <c r="D674" s="62"/>
    </row>
    <row r="675" spans="2:4" ht="12.5" x14ac:dyDescent="0.25">
      <c r="B675" s="62"/>
      <c r="D675" s="62"/>
    </row>
    <row r="676" spans="2:4" ht="12.5" x14ac:dyDescent="0.25">
      <c r="B676" s="62"/>
      <c r="D676" s="62"/>
    </row>
    <row r="677" spans="2:4" ht="12.5" x14ac:dyDescent="0.25">
      <c r="B677" s="62"/>
      <c r="D677" s="62"/>
    </row>
    <row r="678" spans="2:4" ht="12.5" x14ac:dyDescent="0.25">
      <c r="B678" s="62"/>
      <c r="D678" s="62"/>
    </row>
    <row r="679" spans="2:4" ht="12.5" x14ac:dyDescent="0.25">
      <c r="B679" s="62"/>
      <c r="D679" s="62"/>
    </row>
    <row r="680" spans="2:4" ht="12.5" x14ac:dyDescent="0.25">
      <c r="B680" s="62"/>
      <c r="D680" s="62"/>
    </row>
    <row r="681" spans="2:4" ht="12.5" x14ac:dyDescent="0.25">
      <c r="B681" s="62"/>
      <c r="D681" s="62"/>
    </row>
    <row r="682" spans="2:4" ht="12.5" x14ac:dyDescent="0.25">
      <c r="B682" s="62"/>
      <c r="D682" s="62"/>
    </row>
    <row r="683" spans="2:4" ht="12.5" x14ac:dyDescent="0.25">
      <c r="B683" s="62"/>
      <c r="D683" s="62"/>
    </row>
    <row r="684" spans="2:4" ht="12.5" x14ac:dyDescent="0.25">
      <c r="B684" s="62"/>
      <c r="D684" s="62"/>
    </row>
    <row r="685" spans="2:4" ht="12.5" x14ac:dyDescent="0.25">
      <c r="B685" s="62"/>
      <c r="D685" s="62"/>
    </row>
    <row r="686" spans="2:4" ht="12.5" x14ac:dyDescent="0.25">
      <c r="B686" s="62"/>
      <c r="D686" s="62"/>
    </row>
    <row r="687" spans="2:4" ht="12.5" x14ac:dyDescent="0.25">
      <c r="B687" s="62"/>
      <c r="D687" s="62"/>
    </row>
    <row r="688" spans="2:4" ht="12.5" x14ac:dyDescent="0.25">
      <c r="B688" s="62"/>
      <c r="D688" s="62"/>
    </row>
    <row r="689" spans="2:4" ht="12.5" x14ac:dyDescent="0.25">
      <c r="B689" s="62"/>
      <c r="D689" s="62"/>
    </row>
    <row r="690" spans="2:4" ht="12.5" x14ac:dyDescent="0.25">
      <c r="B690" s="62"/>
      <c r="D690" s="62"/>
    </row>
    <row r="691" spans="2:4" ht="12.5" x14ac:dyDescent="0.25">
      <c r="B691" s="62"/>
      <c r="D691" s="62"/>
    </row>
    <row r="692" spans="2:4" ht="12.5" x14ac:dyDescent="0.25">
      <c r="B692" s="62"/>
      <c r="D692" s="62"/>
    </row>
    <row r="693" spans="2:4" ht="12.5" x14ac:dyDescent="0.25">
      <c r="B693" s="62"/>
      <c r="D693" s="62"/>
    </row>
    <row r="694" spans="2:4" ht="12.5" x14ac:dyDescent="0.25">
      <c r="B694" s="62"/>
      <c r="D694" s="62"/>
    </row>
    <row r="695" spans="2:4" ht="12.5" x14ac:dyDescent="0.25">
      <c r="B695" s="62"/>
      <c r="D695" s="62"/>
    </row>
    <row r="696" spans="2:4" ht="12.5" x14ac:dyDescent="0.25">
      <c r="B696" s="62"/>
      <c r="D696" s="62"/>
    </row>
    <row r="697" spans="2:4" ht="12.5" x14ac:dyDescent="0.25">
      <c r="B697" s="62"/>
      <c r="D697" s="62"/>
    </row>
    <row r="698" spans="2:4" ht="12.5" x14ac:dyDescent="0.25">
      <c r="B698" s="62"/>
      <c r="D698" s="62"/>
    </row>
    <row r="699" spans="2:4" ht="12.5" x14ac:dyDescent="0.25">
      <c r="B699" s="62"/>
      <c r="D699" s="62"/>
    </row>
    <row r="700" spans="2:4" ht="12.5" x14ac:dyDescent="0.25">
      <c r="B700" s="62"/>
      <c r="D700" s="62"/>
    </row>
    <row r="701" spans="2:4" ht="12.5" x14ac:dyDescent="0.25">
      <c r="B701" s="62"/>
      <c r="D701" s="62"/>
    </row>
    <row r="702" spans="2:4" ht="12.5" x14ac:dyDescent="0.25">
      <c r="B702" s="62"/>
      <c r="D702" s="62"/>
    </row>
    <row r="703" spans="2:4" ht="12.5" x14ac:dyDescent="0.25">
      <c r="B703" s="62"/>
      <c r="D703" s="62"/>
    </row>
    <row r="704" spans="2:4" ht="12.5" x14ac:dyDescent="0.25">
      <c r="B704" s="62"/>
      <c r="D704" s="62"/>
    </row>
    <row r="705" spans="2:4" ht="12.5" x14ac:dyDescent="0.25">
      <c r="B705" s="62"/>
      <c r="D705" s="62"/>
    </row>
    <row r="706" spans="2:4" ht="12.5" x14ac:dyDescent="0.25">
      <c r="B706" s="62"/>
      <c r="D706" s="62"/>
    </row>
    <row r="707" spans="2:4" ht="12.5" x14ac:dyDescent="0.25">
      <c r="B707" s="62"/>
      <c r="D707" s="62"/>
    </row>
    <row r="708" spans="2:4" ht="12.5" x14ac:dyDescent="0.25">
      <c r="B708" s="62"/>
      <c r="D708" s="62"/>
    </row>
    <row r="709" spans="2:4" ht="12.5" x14ac:dyDescent="0.25">
      <c r="B709" s="62"/>
      <c r="D709" s="62"/>
    </row>
    <row r="710" spans="2:4" ht="12.5" x14ac:dyDescent="0.25">
      <c r="B710" s="62"/>
      <c r="D710" s="62"/>
    </row>
    <row r="711" spans="2:4" ht="12.5" x14ac:dyDescent="0.25">
      <c r="B711" s="62"/>
      <c r="D711" s="62"/>
    </row>
    <row r="712" spans="2:4" ht="12.5" x14ac:dyDescent="0.25">
      <c r="B712" s="62"/>
      <c r="D712" s="62"/>
    </row>
    <row r="713" spans="2:4" ht="12.5" x14ac:dyDescent="0.25">
      <c r="B713" s="62"/>
      <c r="D713" s="62"/>
    </row>
    <row r="714" spans="2:4" ht="12.5" x14ac:dyDescent="0.25">
      <c r="B714" s="62"/>
      <c r="D714" s="62"/>
    </row>
    <row r="715" spans="2:4" ht="12.5" x14ac:dyDescent="0.25">
      <c r="B715" s="62"/>
      <c r="D715" s="62"/>
    </row>
    <row r="716" spans="2:4" ht="12.5" x14ac:dyDescent="0.25">
      <c r="B716" s="62"/>
      <c r="D716" s="62"/>
    </row>
    <row r="717" spans="2:4" ht="12.5" x14ac:dyDescent="0.25">
      <c r="B717" s="62"/>
      <c r="D717" s="62"/>
    </row>
    <row r="718" spans="2:4" ht="12.5" x14ac:dyDescent="0.25">
      <c r="B718" s="62"/>
      <c r="D718" s="62"/>
    </row>
    <row r="719" spans="2:4" ht="12.5" x14ac:dyDescent="0.25">
      <c r="B719" s="62"/>
      <c r="D719" s="62"/>
    </row>
    <row r="720" spans="2:4" ht="12.5" x14ac:dyDescent="0.25">
      <c r="B720" s="62"/>
      <c r="D720" s="62"/>
    </row>
    <row r="721" spans="2:4" ht="12.5" x14ac:dyDescent="0.25">
      <c r="B721" s="62"/>
      <c r="D721" s="62"/>
    </row>
    <row r="722" spans="2:4" ht="12.5" x14ac:dyDescent="0.25">
      <c r="B722" s="62"/>
      <c r="D722" s="62"/>
    </row>
    <row r="723" spans="2:4" ht="12.5" x14ac:dyDescent="0.25">
      <c r="B723" s="62"/>
      <c r="D723" s="62"/>
    </row>
    <row r="724" spans="2:4" ht="12.5" x14ac:dyDescent="0.25">
      <c r="B724" s="62"/>
      <c r="D724" s="62"/>
    </row>
    <row r="725" spans="2:4" ht="12.5" x14ac:dyDescent="0.25">
      <c r="B725" s="62"/>
      <c r="D725" s="62"/>
    </row>
    <row r="726" spans="2:4" ht="12.5" x14ac:dyDescent="0.25">
      <c r="B726" s="62"/>
      <c r="D726" s="62"/>
    </row>
    <row r="727" spans="2:4" ht="12.5" x14ac:dyDescent="0.25">
      <c r="B727" s="62"/>
      <c r="D727" s="62"/>
    </row>
    <row r="728" spans="2:4" ht="12.5" x14ac:dyDescent="0.25">
      <c r="B728" s="62"/>
      <c r="D728" s="62"/>
    </row>
    <row r="729" spans="2:4" ht="12.5" x14ac:dyDescent="0.25">
      <c r="B729" s="62"/>
      <c r="D729" s="62"/>
    </row>
    <row r="730" spans="2:4" ht="12.5" x14ac:dyDescent="0.25">
      <c r="B730" s="62"/>
      <c r="D730" s="62"/>
    </row>
    <row r="731" spans="2:4" ht="12.5" x14ac:dyDescent="0.25">
      <c r="B731" s="62"/>
      <c r="D731" s="62"/>
    </row>
    <row r="732" spans="2:4" ht="12.5" x14ac:dyDescent="0.25">
      <c r="B732" s="62"/>
      <c r="D732" s="62"/>
    </row>
    <row r="733" spans="2:4" ht="12.5" x14ac:dyDescent="0.25">
      <c r="B733" s="62"/>
      <c r="D733" s="62"/>
    </row>
    <row r="734" spans="2:4" ht="12.5" x14ac:dyDescent="0.25">
      <c r="B734" s="62"/>
      <c r="D734" s="62"/>
    </row>
    <row r="735" spans="2:4" ht="12.5" x14ac:dyDescent="0.25">
      <c r="B735" s="62"/>
      <c r="D735" s="62"/>
    </row>
    <row r="736" spans="2:4" ht="12.5" x14ac:dyDescent="0.25">
      <c r="B736" s="62"/>
      <c r="D736" s="62"/>
    </row>
    <row r="737" spans="2:4" ht="12.5" x14ac:dyDescent="0.25">
      <c r="B737" s="62"/>
      <c r="D737" s="62"/>
    </row>
    <row r="738" spans="2:4" ht="12.5" x14ac:dyDescent="0.25">
      <c r="B738" s="62"/>
      <c r="D738" s="62"/>
    </row>
    <row r="739" spans="2:4" ht="12.5" x14ac:dyDescent="0.25">
      <c r="B739" s="62"/>
      <c r="D739" s="62"/>
    </row>
    <row r="740" spans="2:4" ht="12.5" x14ac:dyDescent="0.25">
      <c r="B740" s="62"/>
      <c r="D740" s="62"/>
    </row>
    <row r="741" spans="2:4" ht="12.5" x14ac:dyDescent="0.25">
      <c r="B741" s="62"/>
      <c r="D741" s="62"/>
    </row>
    <row r="742" spans="2:4" ht="12.5" x14ac:dyDescent="0.25">
      <c r="B742" s="62"/>
      <c r="D742" s="62"/>
    </row>
    <row r="743" spans="2:4" ht="12.5" x14ac:dyDescent="0.25">
      <c r="B743" s="62"/>
      <c r="D743" s="62"/>
    </row>
    <row r="744" spans="2:4" ht="12.5" x14ac:dyDescent="0.25">
      <c r="B744" s="62"/>
      <c r="D744" s="62"/>
    </row>
    <row r="745" spans="2:4" ht="12.5" x14ac:dyDescent="0.25">
      <c r="B745" s="62"/>
      <c r="D745" s="62"/>
    </row>
    <row r="746" spans="2:4" ht="12.5" x14ac:dyDescent="0.25">
      <c r="B746" s="62"/>
      <c r="D746" s="62"/>
    </row>
    <row r="747" spans="2:4" ht="12.5" x14ac:dyDescent="0.25">
      <c r="B747" s="62"/>
      <c r="D747" s="62"/>
    </row>
    <row r="748" spans="2:4" ht="12.5" x14ac:dyDescent="0.25">
      <c r="B748" s="62"/>
      <c r="D748" s="62"/>
    </row>
    <row r="749" spans="2:4" ht="12.5" x14ac:dyDescent="0.25">
      <c r="B749" s="62"/>
      <c r="D749" s="62"/>
    </row>
    <row r="750" spans="2:4" ht="12.5" x14ac:dyDescent="0.25">
      <c r="B750" s="62"/>
      <c r="D750" s="62"/>
    </row>
    <row r="751" spans="2:4" ht="12.5" x14ac:dyDescent="0.25">
      <c r="B751" s="62"/>
      <c r="D751" s="62"/>
    </row>
    <row r="752" spans="2:4" ht="12.5" x14ac:dyDescent="0.25">
      <c r="B752" s="62"/>
      <c r="D752" s="62"/>
    </row>
    <row r="753" spans="2:4" ht="12.5" x14ac:dyDescent="0.25">
      <c r="B753" s="62"/>
      <c r="D753" s="62"/>
    </row>
    <row r="754" spans="2:4" ht="12.5" x14ac:dyDescent="0.25">
      <c r="B754" s="62"/>
      <c r="D754" s="62"/>
    </row>
    <row r="755" spans="2:4" ht="12.5" x14ac:dyDescent="0.25">
      <c r="B755" s="62"/>
      <c r="D755" s="62"/>
    </row>
    <row r="756" spans="2:4" ht="12.5" x14ac:dyDescent="0.25">
      <c r="B756" s="62"/>
      <c r="D756" s="62"/>
    </row>
    <row r="757" spans="2:4" ht="12.5" x14ac:dyDescent="0.25">
      <c r="B757" s="62"/>
      <c r="D757" s="62"/>
    </row>
    <row r="758" spans="2:4" ht="12.5" x14ac:dyDescent="0.25">
      <c r="B758" s="62"/>
      <c r="D758" s="62"/>
    </row>
    <row r="759" spans="2:4" ht="12.5" x14ac:dyDescent="0.25">
      <c r="B759" s="62"/>
      <c r="D759" s="62"/>
    </row>
    <row r="760" spans="2:4" ht="12.5" x14ac:dyDescent="0.25">
      <c r="B760" s="62"/>
      <c r="D760" s="62"/>
    </row>
    <row r="761" spans="2:4" ht="12.5" x14ac:dyDescent="0.25">
      <c r="B761" s="62"/>
      <c r="D761" s="62"/>
    </row>
    <row r="762" spans="2:4" ht="12.5" x14ac:dyDescent="0.25">
      <c r="B762" s="62"/>
      <c r="D762" s="62"/>
    </row>
    <row r="763" spans="2:4" ht="12.5" x14ac:dyDescent="0.25">
      <c r="B763" s="62"/>
      <c r="D763" s="62"/>
    </row>
    <row r="764" spans="2:4" ht="12.5" x14ac:dyDescent="0.25">
      <c r="B764" s="62"/>
      <c r="D764" s="62"/>
    </row>
    <row r="765" spans="2:4" ht="12.5" x14ac:dyDescent="0.25">
      <c r="B765" s="62"/>
      <c r="D765" s="62"/>
    </row>
    <row r="766" spans="2:4" ht="12.5" x14ac:dyDescent="0.25">
      <c r="B766" s="62"/>
      <c r="D766" s="62"/>
    </row>
    <row r="767" spans="2:4" ht="12.5" x14ac:dyDescent="0.25">
      <c r="B767" s="62"/>
      <c r="D767" s="62"/>
    </row>
    <row r="768" spans="2:4" ht="12.5" x14ac:dyDescent="0.25">
      <c r="B768" s="62"/>
      <c r="D768" s="62"/>
    </row>
    <row r="769" spans="2:4" ht="12.5" x14ac:dyDescent="0.25">
      <c r="B769" s="62"/>
      <c r="D769" s="62"/>
    </row>
    <row r="770" spans="2:4" ht="12.5" x14ac:dyDescent="0.25">
      <c r="B770" s="62"/>
      <c r="D770" s="62"/>
    </row>
    <row r="771" spans="2:4" ht="12.5" x14ac:dyDescent="0.25">
      <c r="B771" s="62"/>
      <c r="D771" s="62"/>
    </row>
    <row r="772" spans="2:4" ht="12.5" x14ac:dyDescent="0.25">
      <c r="B772" s="62"/>
      <c r="D772" s="62"/>
    </row>
    <row r="773" spans="2:4" ht="12.5" x14ac:dyDescent="0.25">
      <c r="B773" s="62"/>
      <c r="D773" s="62"/>
    </row>
    <row r="774" spans="2:4" ht="12.5" x14ac:dyDescent="0.25">
      <c r="B774" s="62"/>
      <c r="D774" s="62"/>
    </row>
    <row r="775" spans="2:4" ht="12.5" x14ac:dyDescent="0.25">
      <c r="B775" s="62"/>
      <c r="D775" s="62"/>
    </row>
    <row r="776" spans="2:4" ht="12.5" x14ac:dyDescent="0.25">
      <c r="B776" s="62"/>
      <c r="D776" s="62"/>
    </row>
    <row r="777" spans="2:4" ht="12.5" x14ac:dyDescent="0.25">
      <c r="B777" s="62"/>
      <c r="D777" s="62"/>
    </row>
    <row r="778" spans="2:4" ht="12.5" x14ac:dyDescent="0.25">
      <c r="B778" s="62"/>
      <c r="D778" s="62"/>
    </row>
    <row r="779" spans="2:4" ht="12.5" x14ac:dyDescent="0.25">
      <c r="B779" s="62"/>
      <c r="D779" s="62"/>
    </row>
    <row r="780" spans="2:4" ht="12.5" x14ac:dyDescent="0.25">
      <c r="B780" s="62"/>
      <c r="D780" s="62"/>
    </row>
    <row r="781" spans="2:4" ht="12.5" x14ac:dyDescent="0.25">
      <c r="B781" s="62"/>
      <c r="D781" s="62"/>
    </row>
    <row r="782" spans="2:4" ht="12.5" x14ac:dyDescent="0.25">
      <c r="B782" s="62"/>
      <c r="D782" s="62"/>
    </row>
    <row r="783" spans="2:4" ht="12.5" x14ac:dyDescent="0.25">
      <c r="B783" s="62"/>
      <c r="D783" s="62"/>
    </row>
    <row r="784" spans="2:4" ht="12.5" x14ac:dyDescent="0.25">
      <c r="B784" s="62"/>
      <c r="D784" s="62"/>
    </row>
    <row r="785" spans="2:4" ht="12.5" x14ac:dyDescent="0.25">
      <c r="B785" s="62"/>
      <c r="D785" s="62"/>
    </row>
    <row r="786" spans="2:4" ht="12.5" x14ac:dyDescent="0.25">
      <c r="B786" s="62"/>
      <c r="D786" s="62"/>
    </row>
    <row r="787" spans="2:4" ht="12.5" x14ac:dyDescent="0.25">
      <c r="B787" s="62"/>
      <c r="D787" s="62"/>
    </row>
    <row r="788" spans="2:4" ht="12.5" x14ac:dyDescent="0.25">
      <c r="B788" s="62"/>
      <c r="D788" s="62"/>
    </row>
    <row r="789" spans="2:4" ht="12.5" x14ac:dyDescent="0.25">
      <c r="B789" s="62"/>
      <c r="D789" s="62"/>
    </row>
    <row r="790" spans="2:4" ht="12.5" x14ac:dyDescent="0.25">
      <c r="B790" s="62"/>
      <c r="D790" s="62"/>
    </row>
    <row r="791" spans="2:4" ht="12.5" x14ac:dyDescent="0.25">
      <c r="B791" s="62"/>
      <c r="D791" s="62"/>
    </row>
    <row r="792" spans="2:4" ht="12.5" x14ac:dyDescent="0.25">
      <c r="B792" s="62"/>
      <c r="D792" s="62"/>
    </row>
    <row r="793" spans="2:4" ht="12.5" x14ac:dyDescent="0.25">
      <c r="B793" s="62"/>
      <c r="D793" s="62"/>
    </row>
    <row r="794" spans="2:4" ht="12.5" x14ac:dyDescent="0.25">
      <c r="B794" s="62"/>
      <c r="D794" s="62"/>
    </row>
    <row r="795" spans="2:4" ht="12.5" x14ac:dyDescent="0.25">
      <c r="B795" s="62"/>
      <c r="D795" s="62"/>
    </row>
    <row r="796" spans="2:4" ht="12.5" x14ac:dyDescent="0.25">
      <c r="B796" s="62"/>
      <c r="D796" s="62"/>
    </row>
    <row r="797" spans="2:4" ht="12.5" x14ac:dyDescent="0.25">
      <c r="B797" s="62"/>
      <c r="D797" s="62"/>
    </row>
    <row r="798" spans="2:4" ht="12.5" x14ac:dyDescent="0.25">
      <c r="B798" s="62"/>
      <c r="D798" s="62"/>
    </row>
    <row r="799" spans="2:4" ht="12.5" x14ac:dyDescent="0.25">
      <c r="B799" s="62"/>
      <c r="D799" s="62"/>
    </row>
    <row r="800" spans="2:4" ht="12.5" x14ac:dyDescent="0.25">
      <c r="B800" s="62"/>
      <c r="D800" s="62"/>
    </row>
    <row r="801" spans="2:4" ht="12.5" x14ac:dyDescent="0.25">
      <c r="B801" s="62"/>
      <c r="D801" s="62"/>
    </row>
    <row r="802" spans="2:4" ht="12.5" x14ac:dyDescent="0.25">
      <c r="B802" s="62"/>
      <c r="D802" s="62"/>
    </row>
    <row r="803" spans="2:4" ht="12.5" x14ac:dyDescent="0.25">
      <c r="B803" s="62"/>
      <c r="D803" s="62"/>
    </row>
    <row r="804" spans="2:4" ht="12.5" x14ac:dyDescent="0.25">
      <c r="B804" s="62"/>
      <c r="D804" s="62"/>
    </row>
    <row r="805" spans="2:4" ht="12.5" x14ac:dyDescent="0.25">
      <c r="B805" s="62"/>
      <c r="D805" s="62"/>
    </row>
    <row r="806" spans="2:4" ht="12.5" x14ac:dyDescent="0.25">
      <c r="B806" s="62"/>
      <c r="D806" s="62"/>
    </row>
    <row r="807" spans="2:4" ht="12.5" x14ac:dyDescent="0.25">
      <c r="B807" s="62"/>
      <c r="D807" s="62"/>
    </row>
    <row r="808" spans="2:4" ht="12.5" x14ac:dyDescent="0.25">
      <c r="B808" s="62"/>
      <c r="D808" s="62"/>
    </row>
    <row r="809" spans="2:4" ht="12.5" x14ac:dyDescent="0.25">
      <c r="B809" s="62"/>
      <c r="D809" s="62"/>
    </row>
    <row r="810" spans="2:4" ht="12.5" x14ac:dyDescent="0.25">
      <c r="B810" s="62"/>
      <c r="D810" s="62"/>
    </row>
    <row r="811" spans="2:4" ht="12.5" x14ac:dyDescent="0.25">
      <c r="B811" s="62"/>
      <c r="D811" s="62"/>
    </row>
    <row r="812" spans="2:4" ht="12.5" x14ac:dyDescent="0.25">
      <c r="B812" s="62"/>
      <c r="D812" s="62"/>
    </row>
    <row r="813" spans="2:4" ht="12.5" x14ac:dyDescent="0.25">
      <c r="B813" s="62"/>
      <c r="D813" s="62"/>
    </row>
    <row r="814" spans="2:4" ht="12.5" x14ac:dyDescent="0.25">
      <c r="B814" s="62"/>
      <c r="D814" s="62"/>
    </row>
    <row r="815" spans="2:4" ht="12.5" x14ac:dyDescent="0.25">
      <c r="B815" s="62"/>
      <c r="D815" s="62"/>
    </row>
    <row r="816" spans="2:4" ht="12.5" x14ac:dyDescent="0.25">
      <c r="B816" s="62"/>
      <c r="D816" s="62"/>
    </row>
    <row r="817" spans="2:4" ht="12.5" x14ac:dyDescent="0.25">
      <c r="B817" s="62"/>
      <c r="D817" s="62"/>
    </row>
    <row r="818" spans="2:4" ht="12.5" x14ac:dyDescent="0.25">
      <c r="B818" s="62"/>
      <c r="D818" s="62"/>
    </row>
    <row r="819" spans="2:4" ht="12.5" x14ac:dyDescent="0.25">
      <c r="B819" s="62"/>
      <c r="D819" s="62"/>
    </row>
    <row r="820" spans="2:4" ht="12.5" x14ac:dyDescent="0.25">
      <c r="B820" s="62"/>
      <c r="D820" s="62"/>
    </row>
    <row r="821" spans="2:4" ht="12.5" x14ac:dyDescent="0.25">
      <c r="B821" s="62"/>
      <c r="D821" s="62"/>
    </row>
    <row r="822" spans="2:4" ht="12.5" x14ac:dyDescent="0.25">
      <c r="B822" s="62"/>
      <c r="D822" s="62"/>
    </row>
    <row r="823" spans="2:4" ht="12.5" x14ac:dyDescent="0.25">
      <c r="B823" s="62"/>
      <c r="D823" s="62"/>
    </row>
    <row r="824" spans="2:4" ht="12.5" x14ac:dyDescent="0.25">
      <c r="B824" s="62"/>
      <c r="D824" s="62"/>
    </row>
    <row r="825" spans="2:4" ht="12.5" x14ac:dyDescent="0.25">
      <c r="B825" s="62"/>
      <c r="D825" s="62"/>
    </row>
    <row r="826" spans="2:4" ht="12.5" x14ac:dyDescent="0.25">
      <c r="B826" s="62"/>
      <c r="D826" s="62"/>
    </row>
    <row r="827" spans="2:4" ht="12.5" x14ac:dyDescent="0.25">
      <c r="B827" s="62"/>
      <c r="D827" s="62"/>
    </row>
    <row r="828" spans="2:4" ht="12.5" x14ac:dyDescent="0.25">
      <c r="B828" s="62"/>
      <c r="D828" s="62"/>
    </row>
    <row r="829" spans="2:4" ht="12.5" x14ac:dyDescent="0.25">
      <c r="B829" s="62"/>
      <c r="D829" s="62"/>
    </row>
    <row r="830" spans="2:4" ht="12.5" x14ac:dyDescent="0.25">
      <c r="B830" s="62"/>
      <c r="D830" s="62"/>
    </row>
    <row r="831" spans="2:4" ht="12.5" x14ac:dyDescent="0.25">
      <c r="B831" s="62"/>
      <c r="D831" s="62"/>
    </row>
    <row r="832" spans="2:4" ht="12.5" x14ac:dyDescent="0.25">
      <c r="B832" s="62"/>
      <c r="D832" s="62"/>
    </row>
    <row r="833" spans="2:4" ht="12.5" x14ac:dyDescent="0.25">
      <c r="B833" s="62"/>
      <c r="D833" s="62"/>
    </row>
    <row r="834" spans="2:4" ht="12.5" x14ac:dyDescent="0.25">
      <c r="B834" s="62"/>
      <c r="D834" s="62"/>
    </row>
    <row r="835" spans="2:4" ht="12.5" x14ac:dyDescent="0.25">
      <c r="B835" s="62"/>
      <c r="D835" s="62"/>
    </row>
    <row r="836" spans="2:4" ht="12.5" x14ac:dyDescent="0.25">
      <c r="B836" s="62"/>
      <c r="D836" s="62"/>
    </row>
    <row r="837" spans="2:4" ht="12.5" x14ac:dyDescent="0.25">
      <c r="B837" s="62"/>
      <c r="D837" s="62"/>
    </row>
    <row r="838" spans="2:4" ht="12.5" x14ac:dyDescent="0.25">
      <c r="B838" s="62"/>
      <c r="D838" s="62"/>
    </row>
    <row r="839" spans="2:4" ht="12.5" x14ac:dyDescent="0.25">
      <c r="B839" s="62"/>
      <c r="D839" s="62"/>
    </row>
    <row r="840" spans="2:4" ht="12.5" x14ac:dyDescent="0.25">
      <c r="B840" s="62"/>
      <c r="D840" s="62"/>
    </row>
    <row r="841" spans="2:4" ht="12.5" x14ac:dyDescent="0.25">
      <c r="B841" s="62"/>
      <c r="D841" s="62"/>
    </row>
    <row r="842" spans="2:4" ht="12.5" x14ac:dyDescent="0.25">
      <c r="B842" s="62"/>
      <c r="D842" s="62"/>
    </row>
    <row r="843" spans="2:4" ht="12.5" x14ac:dyDescent="0.25">
      <c r="B843" s="62"/>
      <c r="D843" s="62"/>
    </row>
    <row r="844" spans="2:4" ht="12.5" x14ac:dyDescent="0.25">
      <c r="B844" s="62"/>
      <c r="D844" s="62"/>
    </row>
    <row r="845" spans="2:4" ht="12.5" x14ac:dyDescent="0.25">
      <c r="B845" s="62"/>
      <c r="D845" s="62"/>
    </row>
    <row r="846" spans="2:4" ht="12.5" x14ac:dyDescent="0.25">
      <c r="B846" s="62"/>
      <c r="D846" s="62"/>
    </row>
    <row r="847" spans="2:4" ht="12.5" x14ac:dyDescent="0.25">
      <c r="B847" s="62"/>
      <c r="D847" s="62"/>
    </row>
    <row r="848" spans="2:4" ht="12.5" x14ac:dyDescent="0.25">
      <c r="B848" s="62"/>
      <c r="D848" s="62"/>
    </row>
    <row r="849" spans="2:4" ht="12.5" x14ac:dyDescent="0.25">
      <c r="B849" s="62"/>
      <c r="D849" s="62"/>
    </row>
    <row r="850" spans="2:4" ht="12.5" x14ac:dyDescent="0.25">
      <c r="B850" s="62"/>
      <c r="D850" s="62"/>
    </row>
    <row r="851" spans="2:4" ht="12.5" x14ac:dyDescent="0.25">
      <c r="B851" s="62"/>
      <c r="D851" s="62"/>
    </row>
    <row r="852" spans="2:4" ht="12.5" x14ac:dyDescent="0.25">
      <c r="B852" s="62"/>
      <c r="D852" s="62"/>
    </row>
    <row r="853" spans="2:4" ht="12.5" x14ac:dyDescent="0.25">
      <c r="B853" s="62"/>
      <c r="D853" s="62"/>
    </row>
    <row r="854" spans="2:4" ht="12.5" x14ac:dyDescent="0.25">
      <c r="B854" s="62"/>
      <c r="D854" s="62"/>
    </row>
    <row r="855" spans="2:4" ht="12.5" x14ac:dyDescent="0.25">
      <c r="B855" s="62"/>
      <c r="D855" s="62"/>
    </row>
    <row r="856" spans="2:4" ht="12.5" x14ac:dyDescent="0.25">
      <c r="B856" s="62"/>
      <c r="D856" s="62"/>
    </row>
    <row r="857" spans="2:4" ht="12.5" x14ac:dyDescent="0.25">
      <c r="B857" s="62"/>
      <c r="D857" s="62"/>
    </row>
    <row r="858" spans="2:4" ht="12.5" x14ac:dyDescent="0.25">
      <c r="B858" s="62"/>
      <c r="D858" s="62"/>
    </row>
    <row r="859" spans="2:4" ht="12.5" x14ac:dyDescent="0.25">
      <c r="B859" s="62"/>
      <c r="D859" s="62"/>
    </row>
    <row r="860" spans="2:4" ht="12.5" x14ac:dyDescent="0.25">
      <c r="B860" s="62"/>
      <c r="D860" s="62"/>
    </row>
    <row r="861" spans="2:4" ht="12.5" x14ac:dyDescent="0.25">
      <c r="B861" s="62"/>
      <c r="D861" s="62"/>
    </row>
    <row r="862" spans="2:4" ht="12.5" x14ac:dyDescent="0.25">
      <c r="B862" s="62"/>
      <c r="D862" s="62"/>
    </row>
    <row r="863" spans="2:4" ht="12.5" x14ac:dyDescent="0.25">
      <c r="B863" s="62"/>
      <c r="D863" s="62"/>
    </row>
    <row r="864" spans="2:4" ht="12.5" x14ac:dyDescent="0.25">
      <c r="B864" s="62"/>
      <c r="D864" s="62"/>
    </row>
    <row r="865" spans="2:4" ht="12.5" x14ac:dyDescent="0.25">
      <c r="B865" s="62"/>
      <c r="D865" s="62"/>
    </row>
    <row r="866" spans="2:4" ht="12.5" x14ac:dyDescent="0.25">
      <c r="B866" s="62"/>
      <c r="D866" s="62"/>
    </row>
    <row r="867" spans="2:4" ht="12.5" x14ac:dyDescent="0.25">
      <c r="B867" s="62"/>
      <c r="D867" s="62"/>
    </row>
    <row r="868" spans="2:4" ht="12.5" x14ac:dyDescent="0.25">
      <c r="B868" s="62"/>
      <c r="D868" s="62"/>
    </row>
    <row r="869" spans="2:4" ht="12.5" x14ac:dyDescent="0.25">
      <c r="B869" s="62"/>
      <c r="D869" s="62"/>
    </row>
    <row r="870" spans="2:4" ht="12.5" x14ac:dyDescent="0.25">
      <c r="B870" s="62"/>
      <c r="D870" s="62"/>
    </row>
    <row r="871" spans="2:4" ht="12.5" x14ac:dyDescent="0.25">
      <c r="B871" s="62"/>
      <c r="D871" s="62"/>
    </row>
    <row r="872" spans="2:4" ht="12.5" x14ac:dyDescent="0.25">
      <c r="B872" s="62"/>
      <c r="D872" s="62"/>
    </row>
    <row r="873" spans="2:4" ht="12.5" x14ac:dyDescent="0.25">
      <c r="B873" s="62"/>
      <c r="D873" s="62"/>
    </row>
    <row r="874" spans="2:4" ht="12.5" x14ac:dyDescent="0.25">
      <c r="B874" s="62"/>
      <c r="D874" s="62"/>
    </row>
    <row r="875" spans="2:4" ht="12.5" x14ac:dyDescent="0.25">
      <c r="B875" s="62"/>
      <c r="D875" s="62"/>
    </row>
    <row r="876" spans="2:4" ht="12.5" x14ac:dyDescent="0.25">
      <c r="B876" s="62"/>
      <c r="D876" s="62"/>
    </row>
    <row r="877" spans="2:4" ht="12.5" x14ac:dyDescent="0.25">
      <c r="B877" s="62"/>
      <c r="D877" s="62"/>
    </row>
    <row r="878" spans="2:4" ht="12.5" x14ac:dyDescent="0.25">
      <c r="B878" s="62"/>
      <c r="D878" s="62"/>
    </row>
    <row r="879" spans="2:4" ht="12.5" x14ac:dyDescent="0.25">
      <c r="B879" s="62"/>
      <c r="D879" s="62"/>
    </row>
    <row r="880" spans="2:4" ht="12.5" x14ac:dyDescent="0.25">
      <c r="B880" s="62"/>
      <c r="D880" s="62"/>
    </row>
    <row r="881" spans="2:4" ht="12.5" x14ac:dyDescent="0.25">
      <c r="B881" s="62"/>
      <c r="D881" s="62"/>
    </row>
    <row r="882" spans="2:4" ht="12.5" x14ac:dyDescent="0.25">
      <c r="B882" s="62"/>
      <c r="D882" s="62"/>
    </row>
    <row r="883" spans="2:4" ht="12.5" x14ac:dyDescent="0.25">
      <c r="B883" s="62"/>
      <c r="D883" s="62"/>
    </row>
    <row r="884" spans="2:4" ht="12.5" x14ac:dyDescent="0.25">
      <c r="B884" s="62"/>
      <c r="D884" s="62"/>
    </row>
    <row r="885" spans="2:4" ht="12.5" x14ac:dyDescent="0.25">
      <c r="B885" s="62"/>
      <c r="D885" s="62"/>
    </row>
    <row r="886" spans="2:4" ht="12.5" x14ac:dyDescent="0.25">
      <c r="B886" s="62"/>
      <c r="D886" s="62"/>
    </row>
    <row r="887" spans="2:4" ht="12.5" x14ac:dyDescent="0.25">
      <c r="B887" s="62"/>
      <c r="D887" s="62"/>
    </row>
    <row r="888" spans="2:4" ht="12.5" x14ac:dyDescent="0.25">
      <c r="B888" s="62"/>
      <c r="D888" s="62"/>
    </row>
    <row r="889" spans="2:4" ht="12.5" x14ac:dyDescent="0.25">
      <c r="B889" s="62"/>
      <c r="D889" s="62"/>
    </row>
    <row r="890" spans="2:4" ht="12.5" x14ac:dyDescent="0.25">
      <c r="B890" s="62"/>
      <c r="D890" s="62"/>
    </row>
    <row r="891" spans="2:4" ht="12.5" x14ac:dyDescent="0.25">
      <c r="B891" s="62"/>
      <c r="D891" s="62"/>
    </row>
    <row r="892" spans="2:4" ht="12.5" x14ac:dyDescent="0.25">
      <c r="B892" s="62"/>
      <c r="D892" s="62"/>
    </row>
    <row r="893" spans="2:4" ht="12.5" x14ac:dyDescent="0.25">
      <c r="B893" s="62"/>
      <c r="D893" s="62"/>
    </row>
    <row r="894" spans="2:4" ht="12.5" x14ac:dyDescent="0.25">
      <c r="B894" s="62"/>
      <c r="D894" s="62"/>
    </row>
    <row r="895" spans="2:4" ht="12.5" x14ac:dyDescent="0.25">
      <c r="B895" s="62"/>
      <c r="D895" s="62"/>
    </row>
    <row r="896" spans="2:4" ht="12.5" x14ac:dyDescent="0.25">
      <c r="B896" s="62"/>
      <c r="D896" s="62"/>
    </row>
    <row r="897" spans="2:4" ht="12.5" x14ac:dyDescent="0.25">
      <c r="B897" s="62"/>
      <c r="D897" s="62"/>
    </row>
    <row r="898" spans="2:4" ht="12.5" x14ac:dyDescent="0.25">
      <c r="B898" s="62"/>
      <c r="D898" s="62"/>
    </row>
    <row r="899" spans="2:4" ht="12.5" x14ac:dyDescent="0.25">
      <c r="B899" s="62"/>
      <c r="D899" s="62"/>
    </row>
    <row r="900" spans="2:4" ht="12.5" x14ac:dyDescent="0.25">
      <c r="B900" s="62"/>
      <c r="D900" s="62"/>
    </row>
    <row r="901" spans="2:4" ht="12.5" x14ac:dyDescent="0.25">
      <c r="B901" s="62"/>
      <c r="D901" s="62"/>
    </row>
    <row r="902" spans="2:4" ht="12.5" x14ac:dyDescent="0.25">
      <c r="B902" s="62"/>
      <c r="D902" s="62"/>
    </row>
    <row r="903" spans="2:4" ht="12.5" x14ac:dyDescent="0.25">
      <c r="B903" s="62"/>
      <c r="D903" s="62"/>
    </row>
    <row r="904" spans="2:4" ht="12.5" x14ac:dyDescent="0.25">
      <c r="B904" s="62"/>
      <c r="D904" s="62"/>
    </row>
    <row r="905" spans="2:4" ht="12.5" x14ac:dyDescent="0.25">
      <c r="B905" s="62"/>
      <c r="D905" s="62"/>
    </row>
    <row r="906" spans="2:4" ht="12.5" x14ac:dyDescent="0.25">
      <c r="B906" s="62"/>
      <c r="D906" s="62"/>
    </row>
    <row r="907" spans="2:4" ht="12.5" x14ac:dyDescent="0.25">
      <c r="B907" s="62"/>
      <c r="D907" s="62"/>
    </row>
    <row r="908" spans="2:4" ht="12.5" x14ac:dyDescent="0.25">
      <c r="B908" s="62"/>
      <c r="D908" s="62"/>
    </row>
    <row r="909" spans="2:4" ht="12.5" x14ac:dyDescent="0.25">
      <c r="B909" s="62"/>
      <c r="D909" s="62"/>
    </row>
    <row r="910" spans="2:4" ht="12.5" x14ac:dyDescent="0.25">
      <c r="B910" s="62"/>
      <c r="D910" s="62"/>
    </row>
    <row r="911" spans="2:4" ht="12.5" x14ac:dyDescent="0.25">
      <c r="B911" s="62"/>
      <c r="D911" s="62"/>
    </row>
    <row r="912" spans="2:4" ht="12.5" x14ac:dyDescent="0.25">
      <c r="B912" s="62"/>
      <c r="D912" s="62"/>
    </row>
    <row r="913" spans="2:4" ht="12.5" x14ac:dyDescent="0.25">
      <c r="B913" s="62"/>
      <c r="D913" s="62"/>
    </row>
    <row r="914" spans="2:4" ht="12.5" x14ac:dyDescent="0.25">
      <c r="B914" s="62"/>
      <c r="D914" s="62"/>
    </row>
    <row r="915" spans="2:4" ht="12.5" x14ac:dyDescent="0.25">
      <c r="B915" s="62"/>
      <c r="D915" s="62"/>
    </row>
    <row r="916" spans="2:4" ht="12.5" x14ac:dyDescent="0.25">
      <c r="B916" s="62"/>
      <c r="D916" s="62"/>
    </row>
    <row r="917" spans="2:4" ht="12.5" x14ac:dyDescent="0.25">
      <c r="B917" s="62"/>
      <c r="D917" s="62"/>
    </row>
    <row r="918" spans="2:4" ht="12.5" x14ac:dyDescent="0.25">
      <c r="B918" s="62"/>
      <c r="D918" s="62"/>
    </row>
    <row r="919" spans="2:4" ht="12.5" x14ac:dyDescent="0.25">
      <c r="B919" s="62"/>
      <c r="D919" s="62"/>
    </row>
    <row r="920" spans="2:4" ht="12.5" x14ac:dyDescent="0.25">
      <c r="B920" s="62"/>
      <c r="D920" s="62"/>
    </row>
    <row r="921" spans="2:4" ht="12.5" x14ac:dyDescent="0.25">
      <c r="B921" s="62"/>
      <c r="D921" s="62"/>
    </row>
    <row r="922" spans="2:4" ht="12.5" x14ac:dyDescent="0.25">
      <c r="B922" s="62"/>
      <c r="D922" s="62"/>
    </row>
    <row r="923" spans="2:4" ht="12.5" x14ac:dyDescent="0.25">
      <c r="B923" s="62"/>
      <c r="D923" s="62"/>
    </row>
    <row r="924" spans="2:4" ht="12.5" x14ac:dyDescent="0.25">
      <c r="B924" s="62"/>
      <c r="D924" s="62"/>
    </row>
    <row r="925" spans="2:4" ht="12.5" x14ac:dyDescent="0.25">
      <c r="B925" s="62"/>
      <c r="D925" s="62"/>
    </row>
    <row r="926" spans="2:4" ht="12.5" x14ac:dyDescent="0.25">
      <c r="B926" s="62"/>
      <c r="D926" s="62"/>
    </row>
    <row r="927" spans="2:4" ht="12.5" x14ac:dyDescent="0.25">
      <c r="B927" s="62"/>
      <c r="D927" s="62"/>
    </row>
    <row r="928" spans="2:4" ht="12.5" x14ac:dyDescent="0.25">
      <c r="B928" s="62"/>
      <c r="D928" s="62"/>
    </row>
    <row r="929" spans="2:4" ht="12.5" x14ac:dyDescent="0.25">
      <c r="B929" s="62"/>
      <c r="D929" s="62"/>
    </row>
    <row r="930" spans="2:4" ht="12.5" x14ac:dyDescent="0.25">
      <c r="B930" s="62"/>
      <c r="D930" s="62"/>
    </row>
    <row r="931" spans="2:4" ht="12.5" x14ac:dyDescent="0.25">
      <c r="B931" s="62"/>
      <c r="D931" s="62"/>
    </row>
    <row r="932" spans="2:4" ht="12.5" x14ac:dyDescent="0.25">
      <c r="B932" s="62"/>
      <c r="D932" s="62"/>
    </row>
    <row r="933" spans="2:4" ht="12.5" x14ac:dyDescent="0.25">
      <c r="B933" s="62"/>
      <c r="D933" s="62"/>
    </row>
    <row r="934" spans="2:4" ht="12.5" x14ac:dyDescent="0.25">
      <c r="B934" s="62"/>
      <c r="D934" s="62"/>
    </row>
    <row r="935" spans="2:4" ht="12.5" x14ac:dyDescent="0.25">
      <c r="B935" s="62"/>
      <c r="D935" s="62"/>
    </row>
    <row r="936" spans="2:4" ht="12.5" x14ac:dyDescent="0.25">
      <c r="B936" s="62"/>
      <c r="D936" s="62"/>
    </row>
    <row r="937" spans="2:4" ht="12.5" x14ac:dyDescent="0.25">
      <c r="B937" s="62"/>
      <c r="D937" s="62"/>
    </row>
    <row r="938" spans="2:4" ht="12.5" x14ac:dyDescent="0.25">
      <c r="B938" s="62"/>
      <c r="D938" s="62"/>
    </row>
    <row r="939" spans="2:4" ht="12.5" x14ac:dyDescent="0.25">
      <c r="B939" s="62"/>
      <c r="D939" s="62"/>
    </row>
    <row r="940" spans="2:4" ht="12.5" x14ac:dyDescent="0.25">
      <c r="B940" s="62"/>
      <c r="D940" s="62"/>
    </row>
    <row r="941" spans="2:4" ht="12.5" x14ac:dyDescent="0.25">
      <c r="B941" s="62"/>
      <c r="D941" s="62"/>
    </row>
    <row r="942" spans="2:4" ht="12.5" x14ac:dyDescent="0.25">
      <c r="B942" s="62"/>
      <c r="D942" s="62"/>
    </row>
    <row r="943" spans="2:4" ht="12.5" x14ac:dyDescent="0.25">
      <c r="B943" s="62"/>
      <c r="D943" s="62"/>
    </row>
    <row r="944" spans="2:4" ht="12.5" x14ac:dyDescent="0.25">
      <c r="B944" s="62"/>
      <c r="D944" s="62"/>
    </row>
    <row r="945" spans="2:4" ht="12.5" x14ac:dyDescent="0.25">
      <c r="B945" s="62"/>
      <c r="D945" s="62"/>
    </row>
    <row r="946" spans="2:4" ht="12.5" x14ac:dyDescent="0.25">
      <c r="B946" s="62"/>
      <c r="D946" s="62"/>
    </row>
    <row r="947" spans="2:4" ht="12.5" x14ac:dyDescent="0.25">
      <c r="B947" s="62"/>
      <c r="D947" s="62"/>
    </row>
    <row r="948" spans="2:4" ht="12.5" x14ac:dyDescent="0.25">
      <c r="B948" s="62"/>
      <c r="D948" s="62"/>
    </row>
    <row r="949" spans="2:4" ht="12.5" x14ac:dyDescent="0.25">
      <c r="B949" s="62"/>
      <c r="D949" s="62"/>
    </row>
    <row r="950" spans="2:4" ht="12.5" x14ac:dyDescent="0.25">
      <c r="B950" s="62"/>
      <c r="D950" s="62"/>
    </row>
    <row r="951" spans="2:4" ht="12.5" x14ac:dyDescent="0.25">
      <c r="B951" s="62"/>
      <c r="D951" s="62"/>
    </row>
    <row r="952" spans="2:4" ht="12.5" x14ac:dyDescent="0.25">
      <c r="B952" s="62"/>
      <c r="D952" s="62"/>
    </row>
    <row r="953" spans="2:4" ht="12.5" x14ac:dyDescent="0.25">
      <c r="B953" s="62"/>
      <c r="D953" s="62"/>
    </row>
    <row r="954" spans="2:4" ht="12.5" x14ac:dyDescent="0.25">
      <c r="B954" s="62"/>
      <c r="D954" s="62"/>
    </row>
    <row r="955" spans="2:4" ht="12.5" x14ac:dyDescent="0.25">
      <c r="B955" s="62"/>
      <c r="D955" s="62"/>
    </row>
    <row r="956" spans="2:4" ht="12.5" x14ac:dyDescent="0.25">
      <c r="B956" s="62"/>
      <c r="D956" s="62"/>
    </row>
    <row r="957" spans="2:4" ht="12.5" x14ac:dyDescent="0.25">
      <c r="B957" s="62"/>
      <c r="D957" s="62"/>
    </row>
    <row r="958" spans="2:4" ht="12.5" x14ac:dyDescent="0.25">
      <c r="B958" s="62"/>
      <c r="D958" s="62"/>
    </row>
    <row r="959" spans="2:4" ht="12.5" x14ac:dyDescent="0.25">
      <c r="B959" s="62"/>
      <c r="D959" s="62"/>
    </row>
    <row r="960" spans="2:4" ht="12.5" x14ac:dyDescent="0.25">
      <c r="B960" s="62"/>
      <c r="D960" s="62"/>
    </row>
    <row r="961" spans="2:4" ht="12.5" x14ac:dyDescent="0.25">
      <c r="B961" s="62"/>
      <c r="D961" s="62"/>
    </row>
    <row r="962" spans="2:4" ht="12.5" x14ac:dyDescent="0.25">
      <c r="B962" s="62"/>
      <c r="D962" s="62"/>
    </row>
    <row r="963" spans="2:4" ht="12.5" x14ac:dyDescent="0.25">
      <c r="B963" s="62"/>
      <c r="D963" s="62"/>
    </row>
    <row r="964" spans="2:4" ht="12.5" x14ac:dyDescent="0.25">
      <c r="B964" s="62"/>
      <c r="D964" s="62"/>
    </row>
    <row r="965" spans="2:4" ht="12.5" x14ac:dyDescent="0.25">
      <c r="B965" s="62"/>
      <c r="D965" s="62"/>
    </row>
    <row r="966" spans="2:4" ht="12.5" x14ac:dyDescent="0.25">
      <c r="B966" s="62"/>
      <c r="D966" s="62"/>
    </row>
    <row r="967" spans="2:4" ht="12.5" x14ac:dyDescent="0.25">
      <c r="B967" s="62"/>
      <c r="D967" s="62"/>
    </row>
    <row r="968" spans="2:4" ht="12.5" x14ac:dyDescent="0.25">
      <c r="B968" s="62"/>
      <c r="D968" s="62"/>
    </row>
    <row r="969" spans="2:4" ht="12.5" x14ac:dyDescent="0.25">
      <c r="B969" s="62"/>
      <c r="D969" s="62"/>
    </row>
    <row r="970" spans="2:4" ht="12.5" x14ac:dyDescent="0.25">
      <c r="B970" s="62"/>
      <c r="D970" s="62"/>
    </row>
    <row r="971" spans="2:4" ht="12.5" x14ac:dyDescent="0.25">
      <c r="B971" s="62"/>
      <c r="D971" s="62"/>
    </row>
    <row r="972" spans="2:4" ht="12.5" x14ac:dyDescent="0.25">
      <c r="B972" s="62"/>
      <c r="D972" s="62"/>
    </row>
    <row r="973" spans="2:4" ht="12.5" x14ac:dyDescent="0.25">
      <c r="B973" s="62"/>
      <c r="D973" s="62"/>
    </row>
    <row r="974" spans="2:4" ht="12.5" x14ac:dyDescent="0.25">
      <c r="B974" s="62"/>
      <c r="D974" s="62"/>
    </row>
    <row r="975" spans="2:4" ht="12.5" x14ac:dyDescent="0.25">
      <c r="B975" s="62"/>
      <c r="D975" s="62"/>
    </row>
    <row r="976" spans="2:4" ht="12.5" x14ac:dyDescent="0.25">
      <c r="B976" s="62"/>
      <c r="D976" s="62"/>
    </row>
    <row r="977" spans="2:4" ht="12.5" x14ac:dyDescent="0.25">
      <c r="B977" s="62"/>
      <c r="D977" s="62"/>
    </row>
    <row r="978" spans="2:4" ht="12.5" x14ac:dyDescent="0.25">
      <c r="B978" s="62"/>
      <c r="D978" s="62"/>
    </row>
    <row r="979" spans="2:4" ht="12.5" x14ac:dyDescent="0.25">
      <c r="B979" s="62"/>
      <c r="D979" s="62"/>
    </row>
    <row r="980" spans="2:4" ht="12.5" x14ac:dyDescent="0.25">
      <c r="B980" s="62"/>
      <c r="D980" s="62"/>
    </row>
    <row r="981" spans="2:4" ht="12.5" x14ac:dyDescent="0.25">
      <c r="B981" s="62"/>
      <c r="D981" s="62"/>
    </row>
    <row r="982" spans="2:4" ht="12.5" x14ac:dyDescent="0.25">
      <c r="B982" s="62"/>
      <c r="D982" s="62"/>
    </row>
    <row r="983" spans="2:4" ht="12.5" x14ac:dyDescent="0.25">
      <c r="B983" s="62"/>
      <c r="D983" s="62"/>
    </row>
    <row r="984" spans="2:4" ht="12.5" x14ac:dyDescent="0.25">
      <c r="B984" s="62"/>
      <c r="D984" s="62"/>
    </row>
    <row r="985" spans="2:4" ht="12.5" x14ac:dyDescent="0.25">
      <c r="B985" s="62"/>
      <c r="D985" s="62"/>
    </row>
    <row r="986" spans="2:4" ht="12.5" x14ac:dyDescent="0.25">
      <c r="B986" s="62"/>
      <c r="D986" s="62"/>
    </row>
    <row r="987" spans="2:4" ht="12.5" x14ac:dyDescent="0.25">
      <c r="B987" s="62"/>
      <c r="D987" s="62"/>
    </row>
    <row r="988" spans="2:4" ht="12.5" x14ac:dyDescent="0.25">
      <c r="B988" s="62"/>
      <c r="D988" s="62"/>
    </row>
    <row r="989" spans="2:4" ht="12.5" x14ac:dyDescent="0.25">
      <c r="B989" s="62"/>
      <c r="D989" s="62"/>
    </row>
    <row r="990" spans="2:4" ht="12.5" x14ac:dyDescent="0.25">
      <c r="B990" s="62"/>
      <c r="D990" s="62"/>
    </row>
    <row r="991" spans="2:4" ht="12.5" x14ac:dyDescent="0.25">
      <c r="B991" s="62"/>
      <c r="D991" s="62"/>
    </row>
    <row r="992" spans="2:4" ht="12.5" x14ac:dyDescent="0.25">
      <c r="B992" s="62"/>
      <c r="D992" s="62"/>
    </row>
    <row r="993" spans="2:4" ht="12.5" x14ac:dyDescent="0.25">
      <c r="B993" s="62"/>
      <c r="D993" s="62"/>
    </row>
    <row r="994" spans="2:4" ht="12.5" x14ac:dyDescent="0.25">
      <c r="B994" s="62"/>
      <c r="D994" s="62"/>
    </row>
    <row r="995" spans="2:4" ht="12.5" x14ac:dyDescent="0.25">
      <c r="B995" s="62"/>
      <c r="D995" s="62"/>
    </row>
    <row r="996" spans="2:4" ht="12.5" x14ac:dyDescent="0.25">
      <c r="B996" s="62"/>
      <c r="D996" s="62"/>
    </row>
    <row r="997" spans="2:4" ht="12.5" x14ac:dyDescent="0.25">
      <c r="B997" s="62"/>
      <c r="D997" s="62"/>
    </row>
    <row r="998" spans="2:4" ht="12.5" x14ac:dyDescent="0.25">
      <c r="B998" s="62"/>
      <c r="D998" s="62"/>
    </row>
    <row r="999" spans="2:4" ht="12.5" x14ac:dyDescent="0.25">
      <c r="B999" s="62"/>
      <c r="D999" s="62"/>
    </row>
    <row r="1000" spans="2:4" ht="12.5" x14ac:dyDescent="0.25">
      <c r="B1000" s="62"/>
      <c r="D1000" s="62"/>
    </row>
  </sheetData>
  <hyperlinks>
    <hyperlink ref="F10" r:id="rId1" xr:uid="{00000000-0004-0000-0100-000000000000}"/>
    <hyperlink ref="F15" r:id="rId2" xr:uid="{00000000-0004-0000-0100-000001000000}"/>
    <hyperlink ref="H15" r:id="rId3" xr:uid="{00000000-0004-0000-0100-000002000000}"/>
    <hyperlink ref="D17" r:id="rId4" xr:uid="{00000000-0004-0000-0100-000003000000}"/>
    <hyperlink ref="F17" r:id="rId5" xr:uid="{00000000-0004-0000-0100-000004000000}"/>
  </hyperlinks>
  <pageMargins left="0.7" right="0.7" top="0.75" bottom="0.75" header="0.3" footer="0.3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C1:G1000"/>
  <sheetViews>
    <sheetView workbookViewId="0"/>
  </sheetViews>
  <sheetFormatPr baseColWidth="10" defaultColWidth="12.6328125" defaultRowHeight="15" customHeight="1" x14ac:dyDescent="0.25"/>
  <cols>
    <col min="3" max="3" width="28.6328125" customWidth="1"/>
    <col min="4" max="4" width="13.36328125" customWidth="1"/>
    <col min="5" max="5" width="30.36328125" customWidth="1"/>
    <col min="6" max="6" width="15.453125" customWidth="1"/>
  </cols>
  <sheetData>
    <row r="1" spans="3:7" ht="15" customHeight="1" x14ac:dyDescent="0.25">
      <c r="D1" s="80"/>
      <c r="E1" s="81"/>
      <c r="F1" s="81"/>
    </row>
    <row r="2" spans="3:7" ht="15" customHeight="1" x14ac:dyDescent="0.25">
      <c r="D2" s="80"/>
      <c r="E2" s="81"/>
      <c r="F2" s="81"/>
    </row>
    <row r="3" spans="3:7" x14ac:dyDescent="0.3">
      <c r="C3" s="66" t="s">
        <v>316</v>
      </c>
      <c r="D3" s="82" t="s">
        <v>317</v>
      </c>
      <c r="E3" s="66" t="s">
        <v>318</v>
      </c>
      <c r="F3" s="66" t="s">
        <v>319</v>
      </c>
    </row>
    <row r="4" spans="3:7" ht="15" customHeight="1" x14ac:dyDescent="0.25">
      <c r="C4" s="59" t="s">
        <v>320</v>
      </c>
      <c r="D4" s="83">
        <v>15665874</v>
      </c>
      <c r="E4" s="41" t="s">
        <v>106</v>
      </c>
      <c r="F4" s="84">
        <v>46011</v>
      </c>
    </row>
    <row r="5" spans="3:7" ht="15" customHeight="1" x14ac:dyDescent="0.25">
      <c r="C5" s="59" t="s">
        <v>261</v>
      </c>
      <c r="D5" s="83">
        <v>2234106</v>
      </c>
      <c r="E5" s="41" t="s">
        <v>90</v>
      </c>
      <c r="F5" s="84">
        <v>45945</v>
      </c>
      <c r="G5" s="61" t="s">
        <v>260</v>
      </c>
    </row>
    <row r="6" spans="3:7" ht="15" customHeight="1" x14ac:dyDescent="0.25">
      <c r="C6" s="59" t="s">
        <v>263</v>
      </c>
      <c r="D6" s="85">
        <v>7415235.5800000001</v>
      </c>
      <c r="E6" s="41" t="s">
        <v>258</v>
      </c>
      <c r="F6" s="58"/>
    </row>
    <row r="7" spans="3:7" ht="15" customHeight="1" x14ac:dyDescent="0.25">
      <c r="C7" s="59" t="s">
        <v>191</v>
      </c>
      <c r="D7" s="86"/>
      <c r="E7" s="41"/>
      <c r="F7" s="87"/>
    </row>
    <row r="8" spans="3:7" ht="15" customHeight="1" x14ac:dyDescent="0.25">
      <c r="C8" s="59" t="s">
        <v>321</v>
      </c>
      <c r="D8" s="83">
        <v>452200</v>
      </c>
      <c r="E8" s="41" t="s">
        <v>63</v>
      </c>
      <c r="F8" s="87"/>
    </row>
    <row r="9" spans="3:7" ht="15" customHeight="1" x14ac:dyDescent="0.25">
      <c r="C9" s="59" t="s">
        <v>322</v>
      </c>
      <c r="D9" s="86"/>
      <c r="E9" s="41" t="s">
        <v>262</v>
      </c>
      <c r="F9" s="87"/>
    </row>
    <row r="10" spans="3:7" ht="15" customHeight="1" x14ac:dyDescent="0.25">
      <c r="C10" s="59" t="s">
        <v>323</v>
      </c>
      <c r="D10" s="86"/>
      <c r="E10" s="41" t="s">
        <v>262</v>
      </c>
      <c r="F10" s="87"/>
    </row>
    <row r="11" spans="3:7" ht="15" customHeight="1" x14ac:dyDescent="0.25">
      <c r="C11" s="59" t="s">
        <v>324</v>
      </c>
      <c r="D11" s="86"/>
      <c r="E11" s="41" t="s">
        <v>106</v>
      </c>
      <c r="F11" s="87"/>
    </row>
    <row r="12" spans="3:7" ht="15" customHeight="1" x14ac:dyDescent="0.25">
      <c r="C12" s="59" t="s">
        <v>196</v>
      </c>
      <c r="D12" s="83">
        <v>43473260</v>
      </c>
      <c r="E12" s="41" t="s">
        <v>257</v>
      </c>
      <c r="F12" s="84">
        <v>45954</v>
      </c>
    </row>
    <row r="13" spans="3:7" ht="15" customHeight="1" x14ac:dyDescent="0.25">
      <c r="C13" s="59" t="s">
        <v>168</v>
      </c>
      <c r="D13" s="86"/>
      <c r="E13" s="41"/>
      <c r="F13" s="87"/>
    </row>
    <row r="14" spans="3:7" ht="15" customHeight="1" x14ac:dyDescent="0.25">
      <c r="C14" s="59" t="s">
        <v>259</v>
      </c>
      <c r="D14" s="86"/>
      <c r="E14" s="41"/>
      <c r="F14" s="87"/>
    </row>
    <row r="15" spans="3:7" ht="15" customHeight="1" x14ac:dyDescent="0.25">
      <c r="C15" s="59" t="s">
        <v>325</v>
      </c>
      <c r="D15" s="86"/>
      <c r="E15" s="41"/>
      <c r="F15" s="87"/>
    </row>
    <row r="16" spans="3:7" ht="15" customHeight="1" x14ac:dyDescent="0.25">
      <c r="C16" s="59" t="s">
        <v>326</v>
      </c>
      <c r="D16" s="86"/>
      <c r="E16" s="41"/>
      <c r="F16" s="87"/>
    </row>
    <row r="17" spans="3:6" ht="15" customHeight="1" x14ac:dyDescent="0.25">
      <c r="C17" s="59" t="s">
        <v>263</v>
      </c>
      <c r="D17" s="85">
        <v>7415235.5800000001</v>
      </c>
      <c r="E17" s="41" t="s">
        <v>258</v>
      </c>
      <c r="F17" s="58"/>
    </row>
    <row r="18" spans="3:6" ht="15" customHeight="1" x14ac:dyDescent="0.25">
      <c r="C18" s="60"/>
      <c r="D18" s="86"/>
      <c r="E18" s="41"/>
      <c r="F18" s="87"/>
    </row>
    <row r="19" spans="3:6" ht="15" customHeight="1" x14ac:dyDescent="0.25">
      <c r="D19" s="80"/>
      <c r="E19" s="81"/>
      <c r="F19" s="81"/>
    </row>
    <row r="20" spans="3:6" ht="15" customHeight="1" x14ac:dyDescent="0.25">
      <c r="D20" s="80"/>
      <c r="E20" s="81"/>
      <c r="F20" s="81"/>
    </row>
    <row r="21" spans="3:6" ht="15" customHeight="1" x14ac:dyDescent="0.25">
      <c r="D21" s="80"/>
      <c r="E21" s="81"/>
      <c r="F21" s="81"/>
    </row>
    <row r="22" spans="3:6" ht="15" customHeight="1" x14ac:dyDescent="0.25">
      <c r="D22" s="80"/>
      <c r="E22" s="81"/>
      <c r="F22" s="81"/>
    </row>
    <row r="23" spans="3:6" ht="15" customHeight="1" x14ac:dyDescent="0.25">
      <c r="D23" s="80"/>
      <c r="E23" s="81"/>
      <c r="F23" s="81"/>
    </row>
    <row r="24" spans="3:6" ht="15" customHeight="1" x14ac:dyDescent="0.25">
      <c r="D24" s="80"/>
      <c r="E24" s="81"/>
      <c r="F24" s="81"/>
    </row>
    <row r="25" spans="3:6" ht="15" customHeight="1" x14ac:dyDescent="0.25">
      <c r="D25" s="80"/>
      <c r="E25" s="81"/>
      <c r="F25" s="81"/>
    </row>
    <row r="26" spans="3:6" ht="15" customHeight="1" x14ac:dyDescent="0.25">
      <c r="D26" s="80"/>
      <c r="E26" s="81"/>
      <c r="F26" s="81"/>
    </row>
    <row r="27" spans="3:6" ht="15" customHeight="1" x14ac:dyDescent="0.25">
      <c r="D27" s="80"/>
      <c r="E27" s="81"/>
      <c r="F27" s="81"/>
    </row>
    <row r="28" spans="3:6" ht="15" customHeight="1" x14ac:dyDescent="0.25">
      <c r="D28" s="80"/>
      <c r="E28" s="81"/>
      <c r="F28" s="81"/>
    </row>
    <row r="29" spans="3:6" ht="15" customHeight="1" x14ac:dyDescent="0.25">
      <c r="D29" s="80"/>
      <c r="E29" s="81"/>
      <c r="F29" s="81"/>
    </row>
    <row r="30" spans="3:6" ht="15" customHeight="1" x14ac:dyDescent="0.25">
      <c r="D30" s="80"/>
      <c r="E30" s="81"/>
      <c r="F30" s="81"/>
    </row>
    <row r="31" spans="3:6" ht="15" customHeight="1" x14ac:dyDescent="0.25">
      <c r="D31" s="80"/>
      <c r="E31" s="81"/>
      <c r="F31" s="81"/>
    </row>
    <row r="32" spans="3:6" ht="15" customHeight="1" x14ac:dyDescent="0.25">
      <c r="D32" s="80"/>
      <c r="E32" s="81"/>
      <c r="F32" s="81"/>
    </row>
    <row r="33" spans="4:6" ht="15" customHeight="1" x14ac:dyDescent="0.25">
      <c r="D33" s="80"/>
      <c r="E33" s="81"/>
      <c r="F33" s="81"/>
    </row>
    <row r="34" spans="4:6" ht="15" customHeight="1" x14ac:dyDescent="0.25">
      <c r="D34" s="80"/>
      <c r="E34" s="81"/>
      <c r="F34" s="81"/>
    </row>
    <row r="35" spans="4:6" ht="15" customHeight="1" x14ac:dyDescent="0.25">
      <c r="D35" s="80"/>
      <c r="E35" s="81"/>
      <c r="F35" s="81"/>
    </row>
    <row r="36" spans="4:6" ht="15" customHeight="1" x14ac:dyDescent="0.25">
      <c r="D36" s="80"/>
      <c r="E36" s="81"/>
      <c r="F36" s="81"/>
    </row>
    <row r="37" spans="4:6" ht="15" customHeight="1" x14ac:dyDescent="0.25">
      <c r="D37" s="80"/>
      <c r="E37" s="81"/>
      <c r="F37" s="81"/>
    </row>
    <row r="38" spans="4:6" ht="15" customHeight="1" x14ac:dyDescent="0.25">
      <c r="D38" s="80"/>
      <c r="E38" s="81"/>
      <c r="F38" s="81"/>
    </row>
    <row r="39" spans="4:6" ht="12.5" x14ac:dyDescent="0.25">
      <c r="D39" s="80"/>
      <c r="E39" s="81"/>
      <c r="F39" s="81"/>
    </row>
    <row r="40" spans="4:6" ht="12.5" x14ac:dyDescent="0.25">
      <c r="D40" s="80"/>
      <c r="E40" s="81"/>
      <c r="F40" s="81"/>
    </row>
    <row r="41" spans="4:6" ht="12.5" x14ac:dyDescent="0.25">
      <c r="D41" s="80"/>
      <c r="E41" s="81"/>
      <c r="F41" s="81"/>
    </row>
    <row r="42" spans="4:6" ht="12.5" x14ac:dyDescent="0.25">
      <c r="D42" s="80"/>
      <c r="E42" s="81"/>
      <c r="F42" s="81"/>
    </row>
    <row r="43" spans="4:6" ht="12.5" x14ac:dyDescent="0.25">
      <c r="D43" s="80"/>
      <c r="E43" s="81"/>
      <c r="F43" s="81"/>
    </row>
    <row r="44" spans="4:6" ht="12.5" x14ac:dyDescent="0.25">
      <c r="D44" s="80"/>
      <c r="E44" s="81"/>
      <c r="F44" s="81"/>
    </row>
    <row r="45" spans="4:6" ht="12.5" x14ac:dyDescent="0.25">
      <c r="D45" s="80"/>
      <c r="E45" s="81"/>
      <c r="F45" s="81"/>
    </row>
    <row r="46" spans="4:6" ht="12.5" x14ac:dyDescent="0.25">
      <c r="D46" s="80"/>
      <c r="E46" s="81"/>
      <c r="F46" s="81"/>
    </row>
    <row r="47" spans="4:6" ht="12.5" x14ac:dyDescent="0.25">
      <c r="D47" s="80"/>
      <c r="E47" s="81"/>
      <c r="F47" s="81"/>
    </row>
    <row r="48" spans="4:6" ht="12.5" x14ac:dyDescent="0.25">
      <c r="D48" s="80"/>
      <c r="E48" s="81"/>
      <c r="F48" s="81"/>
    </row>
    <row r="49" spans="4:6" ht="12.5" x14ac:dyDescent="0.25">
      <c r="D49" s="80"/>
      <c r="E49" s="81"/>
      <c r="F49" s="81"/>
    </row>
    <row r="50" spans="4:6" ht="12.5" x14ac:dyDescent="0.25">
      <c r="D50" s="80"/>
      <c r="E50" s="81"/>
      <c r="F50" s="81"/>
    </row>
    <row r="51" spans="4:6" ht="12.5" x14ac:dyDescent="0.25">
      <c r="D51" s="80"/>
      <c r="E51" s="81"/>
      <c r="F51" s="81"/>
    </row>
    <row r="52" spans="4:6" ht="12.5" x14ac:dyDescent="0.25">
      <c r="D52" s="80"/>
      <c r="E52" s="81"/>
      <c r="F52" s="81"/>
    </row>
    <row r="53" spans="4:6" ht="12.5" x14ac:dyDescent="0.25">
      <c r="D53" s="80"/>
      <c r="E53" s="81"/>
      <c r="F53" s="81"/>
    </row>
    <row r="54" spans="4:6" ht="12.5" x14ac:dyDescent="0.25">
      <c r="D54" s="80"/>
      <c r="E54" s="81"/>
      <c r="F54" s="81"/>
    </row>
    <row r="55" spans="4:6" ht="12.5" x14ac:dyDescent="0.25">
      <c r="D55" s="80"/>
      <c r="E55" s="81"/>
      <c r="F55" s="81"/>
    </row>
    <row r="56" spans="4:6" ht="12.5" x14ac:dyDescent="0.25">
      <c r="D56" s="80"/>
      <c r="E56" s="81"/>
      <c r="F56" s="81"/>
    </row>
    <row r="57" spans="4:6" ht="12.5" x14ac:dyDescent="0.25">
      <c r="D57" s="80"/>
      <c r="E57" s="81"/>
      <c r="F57" s="81"/>
    </row>
    <row r="58" spans="4:6" ht="12.5" x14ac:dyDescent="0.25">
      <c r="D58" s="80"/>
      <c r="E58" s="81"/>
      <c r="F58" s="81"/>
    </row>
    <row r="59" spans="4:6" ht="12.5" x14ac:dyDescent="0.25">
      <c r="D59" s="80"/>
      <c r="E59" s="81"/>
      <c r="F59" s="81"/>
    </row>
    <row r="60" spans="4:6" ht="12.5" x14ac:dyDescent="0.25">
      <c r="D60" s="80"/>
      <c r="E60" s="81"/>
      <c r="F60" s="81"/>
    </row>
    <row r="61" spans="4:6" ht="12.5" x14ac:dyDescent="0.25">
      <c r="D61" s="80"/>
      <c r="E61" s="81"/>
      <c r="F61" s="81"/>
    </row>
    <row r="62" spans="4:6" ht="12.5" x14ac:dyDescent="0.25">
      <c r="D62" s="80"/>
      <c r="E62" s="81"/>
      <c r="F62" s="81"/>
    </row>
    <row r="63" spans="4:6" ht="12.5" x14ac:dyDescent="0.25">
      <c r="D63" s="80"/>
      <c r="E63" s="81"/>
      <c r="F63" s="81"/>
    </row>
    <row r="64" spans="4:6" ht="12.5" x14ac:dyDescent="0.25">
      <c r="D64" s="80"/>
      <c r="E64" s="81"/>
      <c r="F64" s="81"/>
    </row>
    <row r="65" spans="4:6" ht="12.5" x14ac:dyDescent="0.25">
      <c r="D65" s="80"/>
      <c r="E65" s="81"/>
      <c r="F65" s="81"/>
    </row>
    <row r="66" spans="4:6" ht="12.5" x14ac:dyDescent="0.25">
      <c r="D66" s="80"/>
      <c r="E66" s="81"/>
      <c r="F66" s="81"/>
    </row>
    <row r="67" spans="4:6" ht="12.5" x14ac:dyDescent="0.25">
      <c r="D67" s="80"/>
      <c r="E67" s="81"/>
      <c r="F67" s="81"/>
    </row>
    <row r="68" spans="4:6" ht="12.5" x14ac:dyDescent="0.25">
      <c r="D68" s="80"/>
      <c r="E68" s="81"/>
      <c r="F68" s="81"/>
    </row>
    <row r="69" spans="4:6" ht="12.5" x14ac:dyDescent="0.25">
      <c r="D69" s="80"/>
      <c r="E69" s="81"/>
      <c r="F69" s="81"/>
    </row>
    <row r="70" spans="4:6" ht="12.5" x14ac:dyDescent="0.25">
      <c r="D70" s="80"/>
      <c r="E70" s="81"/>
      <c r="F70" s="81"/>
    </row>
    <row r="71" spans="4:6" ht="12.5" x14ac:dyDescent="0.25">
      <c r="D71" s="80"/>
      <c r="E71" s="81"/>
      <c r="F71" s="81"/>
    </row>
    <row r="72" spans="4:6" ht="12.5" x14ac:dyDescent="0.25">
      <c r="D72" s="80"/>
      <c r="E72" s="81"/>
      <c r="F72" s="81"/>
    </row>
    <row r="73" spans="4:6" ht="12.5" x14ac:dyDescent="0.25">
      <c r="D73" s="80"/>
      <c r="E73" s="81"/>
      <c r="F73" s="81"/>
    </row>
    <row r="74" spans="4:6" ht="12.5" x14ac:dyDescent="0.25">
      <c r="D74" s="80"/>
      <c r="E74" s="81"/>
      <c r="F74" s="81"/>
    </row>
    <row r="75" spans="4:6" ht="12.5" x14ac:dyDescent="0.25">
      <c r="D75" s="80"/>
      <c r="E75" s="81"/>
      <c r="F75" s="81"/>
    </row>
    <row r="76" spans="4:6" ht="12.5" x14ac:dyDescent="0.25">
      <c r="D76" s="80"/>
      <c r="E76" s="81"/>
      <c r="F76" s="81"/>
    </row>
    <row r="77" spans="4:6" ht="12.5" x14ac:dyDescent="0.25">
      <c r="D77" s="80"/>
      <c r="E77" s="81"/>
      <c r="F77" s="81"/>
    </row>
    <row r="78" spans="4:6" ht="12.5" x14ac:dyDescent="0.25">
      <c r="D78" s="80"/>
      <c r="E78" s="81"/>
      <c r="F78" s="81"/>
    </row>
    <row r="79" spans="4:6" ht="12.5" x14ac:dyDescent="0.25">
      <c r="D79" s="80"/>
      <c r="E79" s="81"/>
      <c r="F79" s="81"/>
    </row>
    <row r="80" spans="4:6" ht="12.5" x14ac:dyDescent="0.25">
      <c r="D80" s="80"/>
      <c r="E80" s="81"/>
      <c r="F80" s="81"/>
    </row>
    <row r="81" spans="4:6" ht="12.5" x14ac:dyDescent="0.25">
      <c r="D81" s="80"/>
      <c r="E81" s="81"/>
      <c r="F81" s="81"/>
    </row>
    <row r="82" spans="4:6" ht="12.5" x14ac:dyDescent="0.25">
      <c r="D82" s="80"/>
      <c r="E82" s="81"/>
      <c r="F82" s="81"/>
    </row>
    <row r="83" spans="4:6" ht="12.5" x14ac:dyDescent="0.25">
      <c r="D83" s="80"/>
      <c r="E83" s="81"/>
      <c r="F83" s="81"/>
    </row>
    <row r="84" spans="4:6" ht="12.5" x14ac:dyDescent="0.25">
      <c r="D84" s="80"/>
      <c r="E84" s="81"/>
      <c r="F84" s="81"/>
    </row>
    <row r="85" spans="4:6" ht="12.5" x14ac:dyDescent="0.25">
      <c r="D85" s="80"/>
      <c r="E85" s="81"/>
      <c r="F85" s="81"/>
    </row>
    <row r="86" spans="4:6" ht="12.5" x14ac:dyDescent="0.25">
      <c r="D86" s="80"/>
      <c r="E86" s="81"/>
      <c r="F86" s="81"/>
    </row>
    <row r="87" spans="4:6" ht="12.5" x14ac:dyDescent="0.25">
      <c r="D87" s="80"/>
      <c r="E87" s="81"/>
      <c r="F87" s="81"/>
    </row>
    <row r="88" spans="4:6" ht="12.5" x14ac:dyDescent="0.25">
      <c r="D88" s="80"/>
      <c r="E88" s="81"/>
      <c r="F88" s="81"/>
    </row>
    <row r="89" spans="4:6" ht="12.5" x14ac:dyDescent="0.25">
      <c r="D89" s="80"/>
      <c r="E89" s="81"/>
      <c r="F89" s="81"/>
    </row>
    <row r="90" spans="4:6" ht="12.5" x14ac:dyDescent="0.25">
      <c r="D90" s="80"/>
      <c r="E90" s="81"/>
      <c r="F90" s="81"/>
    </row>
    <row r="91" spans="4:6" ht="12.5" x14ac:dyDescent="0.25">
      <c r="D91" s="80"/>
      <c r="E91" s="81"/>
      <c r="F91" s="81"/>
    </row>
    <row r="92" spans="4:6" ht="12.5" x14ac:dyDescent="0.25">
      <c r="D92" s="80"/>
      <c r="E92" s="81"/>
      <c r="F92" s="81"/>
    </row>
    <row r="93" spans="4:6" ht="12.5" x14ac:dyDescent="0.25">
      <c r="D93" s="80"/>
      <c r="E93" s="81"/>
      <c r="F93" s="81"/>
    </row>
    <row r="94" spans="4:6" ht="12.5" x14ac:dyDescent="0.25">
      <c r="D94" s="80"/>
      <c r="E94" s="81"/>
      <c r="F94" s="81"/>
    </row>
    <row r="95" spans="4:6" ht="12.5" x14ac:dyDescent="0.25">
      <c r="D95" s="80"/>
      <c r="E95" s="81"/>
      <c r="F95" s="81"/>
    </row>
    <row r="96" spans="4:6" ht="12.5" x14ac:dyDescent="0.25">
      <c r="D96" s="80"/>
      <c r="E96" s="81"/>
      <c r="F96" s="81"/>
    </row>
    <row r="97" spans="4:6" ht="12.5" x14ac:dyDescent="0.25">
      <c r="D97" s="80"/>
      <c r="E97" s="81"/>
      <c r="F97" s="81"/>
    </row>
    <row r="98" spans="4:6" ht="12.5" x14ac:dyDescent="0.25">
      <c r="D98" s="80"/>
      <c r="E98" s="81"/>
      <c r="F98" s="81"/>
    </row>
    <row r="99" spans="4:6" ht="12.5" x14ac:dyDescent="0.25">
      <c r="D99" s="80"/>
      <c r="E99" s="81"/>
      <c r="F99" s="81"/>
    </row>
    <row r="100" spans="4:6" ht="12.5" x14ac:dyDescent="0.25">
      <c r="D100" s="80"/>
      <c r="E100" s="81"/>
      <c r="F100" s="81"/>
    </row>
    <row r="101" spans="4:6" ht="12.5" x14ac:dyDescent="0.25">
      <c r="D101" s="80"/>
      <c r="E101" s="81"/>
      <c r="F101" s="81"/>
    </row>
    <row r="102" spans="4:6" ht="12.5" x14ac:dyDescent="0.25">
      <c r="D102" s="80"/>
      <c r="E102" s="81"/>
      <c r="F102" s="81"/>
    </row>
    <row r="103" spans="4:6" ht="12.5" x14ac:dyDescent="0.25">
      <c r="D103" s="80"/>
      <c r="E103" s="81"/>
      <c r="F103" s="81"/>
    </row>
    <row r="104" spans="4:6" ht="12.5" x14ac:dyDescent="0.25">
      <c r="D104" s="80"/>
      <c r="E104" s="81"/>
      <c r="F104" s="81"/>
    </row>
    <row r="105" spans="4:6" ht="12.5" x14ac:dyDescent="0.25">
      <c r="D105" s="80"/>
      <c r="E105" s="81"/>
      <c r="F105" s="81"/>
    </row>
    <row r="106" spans="4:6" ht="12.5" x14ac:dyDescent="0.25">
      <c r="D106" s="80"/>
      <c r="E106" s="81"/>
      <c r="F106" s="81"/>
    </row>
    <row r="107" spans="4:6" ht="12.5" x14ac:dyDescent="0.25">
      <c r="D107" s="80"/>
      <c r="E107" s="81"/>
      <c r="F107" s="81"/>
    </row>
    <row r="108" spans="4:6" ht="12.5" x14ac:dyDescent="0.25">
      <c r="D108" s="80"/>
      <c r="E108" s="81"/>
      <c r="F108" s="81"/>
    </row>
    <row r="109" spans="4:6" ht="12.5" x14ac:dyDescent="0.25">
      <c r="D109" s="80"/>
      <c r="E109" s="81"/>
      <c r="F109" s="81"/>
    </row>
    <row r="110" spans="4:6" ht="12.5" x14ac:dyDescent="0.25">
      <c r="D110" s="80"/>
      <c r="E110" s="81"/>
      <c r="F110" s="81"/>
    </row>
    <row r="111" spans="4:6" ht="12.5" x14ac:dyDescent="0.25">
      <c r="D111" s="80"/>
      <c r="E111" s="81"/>
      <c r="F111" s="81"/>
    </row>
    <row r="112" spans="4:6" ht="12.5" x14ac:dyDescent="0.25">
      <c r="D112" s="80"/>
      <c r="E112" s="81"/>
      <c r="F112" s="81"/>
    </row>
    <row r="113" spans="4:6" ht="12.5" x14ac:dyDescent="0.25">
      <c r="D113" s="80"/>
      <c r="E113" s="81"/>
      <c r="F113" s="81"/>
    </row>
    <row r="114" spans="4:6" ht="12.5" x14ac:dyDescent="0.25">
      <c r="D114" s="80"/>
      <c r="E114" s="81"/>
      <c r="F114" s="81"/>
    </row>
    <row r="115" spans="4:6" ht="12.5" x14ac:dyDescent="0.25">
      <c r="D115" s="80"/>
      <c r="E115" s="81"/>
      <c r="F115" s="81"/>
    </row>
    <row r="116" spans="4:6" ht="12.5" x14ac:dyDescent="0.25">
      <c r="D116" s="80"/>
      <c r="E116" s="81"/>
      <c r="F116" s="81"/>
    </row>
    <row r="117" spans="4:6" ht="12.5" x14ac:dyDescent="0.25">
      <c r="D117" s="80"/>
      <c r="E117" s="81"/>
      <c r="F117" s="81"/>
    </row>
    <row r="118" spans="4:6" ht="12.5" x14ac:dyDescent="0.25">
      <c r="D118" s="80"/>
      <c r="E118" s="81"/>
      <c r="F118" s="81"/>
    </row>
    <row r="119" spans="4:6" ht="12.5" x14ac:dyDescent="0.25">
      <c r="D119" s="80"/>
      <c r="E119" s="81"/>
      <c r="F119" s="81"/>
    </row>
    <row r="120" spans="4:6" ht="12.5" x14ac:dyDescent="0.25">
      <c r="D120" s="80"/>
      <c r="E120" s="81"/>
      <c r="F120" s="81"/>
    </row>
    <row r="121" spans="4:6" ht="12.5" x14ac:dyDescent="0.25">
      <c r="D121" s="80"/>
      <c r="E121" s="81"/>
      <c r="F121" s="81"/>
    </row>
    <row r="122" spans="4:6" ht="12.5" x14ac:dyDescent="0.25">
      <c r="D122" s="80"/>
      <c r="E122" s="81"/>
      <c r="F122" s="81"/>
    </row>
    <row r="123" spans="4:6" ht="12.5" x14ac:dyDescent="0.25">
      <c r="D123" s="80"/>
      <c r="E123" s="81"/>
      <c r="F123" s="81"/>
    </row>
    <row r="124" spans="4:6" ht="12.5" x14ac:dyDescent="0.25">
      <c r="D124" s="80"/>
      <c r="E124" s="81"/>
      <c r="F124" s="81"/>
    </row>
    <row r="125" spans="4:6" ht="12.5" x14ac:dyDescent="0.25">
      <c r="D125" s="80"/>
      <c r="E125" s="81"/>
      <c r="F125" s="81"/>
    </row>
    <row r="126" spans="4:6" ht="12.5" x14ac:dyDescent="0.25">
      <c r="D126" s="80"/>
      <c r="E126" s="81"/>
      <c r="F126" s="81"/>
    </row>
    <row r="127" spans="4:6" ht="12.5" x14ac:dyDescent="0.25">
      <c r="D127" s="80"/>
      <c r="E127" s="81"/>
      <c r="F127" s="81"/>
    </row>
    <row r="128" spans="4:6" ht="12.5" x14ac:dyDescent="0.25">
      <c r="D128" s="80"/>
      <c r="E128" s="81"/>
      <c r="F128" s="81"/>
    </row>
    <row r="129" spans="4:6" ht="12.5" x14ac:dyDescent="0.25">
      <c r="D129" s="80"/>
      <c r="E129" s="81"/>
      <c r="F129" s="81"/>
    </row>
    <row r="130" spans="4:6" ht="12.5" x14ac:dyDescent="0.25">
      <c r="D130" s="80"/>
      <c r="E130" s="81"/>
      <c r="F130" s="81"/>
    </row>
    <row r="131" spans="4:6" ht="12.5" x14ac:dyDescent="0.25">
      <c r="D131" s="80"/>
      <c r="E131" s="81"/>
      <c r="F131" s="81"/>
    </row>
    <row r="132" spans="4:6" ht="12.5" x14ac:dyDescent="0.25">
      <c r="D132" s="80"/>
      <c r="E132" s="81"/>
      <c r="F132" s="81"/>
    </row>
    <row r="133" spans="4:6" ht="12.5" x14ac:dyDescent="0.25">
      <c r="D133" s="80"/>
      <c r="E133" s="81"/>
      <c r="F133" s="81"/>
    </row>
    <row r="134" spans="4:6" ht="12.5" x14ac:dyDescent="0.25">
      <c r="D134" s="80"/>
      <c r="E134" s="81"/>
      <c r="F134" s="81"/>
    </row>
    <row r="135" spans="4:6" ht="12.5" x14ac:dyDescent="0.25">
      <c r="D135" s="80"/>
      <c r="E135" s="81"/>
      <c r="F135" s="81"/>
    </row>
    <row r="136" spans="4:6" ht="12.5" x14ac:dyDescent="0.25">
      <c r="D136" s="80"/>
      <c r="E136" s="81"/>
      <c r="F136" s="81"/>
    </row>
    <row r="137" spans="4:6" ht="12.5" x14ac:dyDescent="0.25">
      <c r="D137" s="80"/>
      <c r="E137" s="81"/>
      <c r="F137" s="81"/>
    </row>
    <row r="138" spans="4:6" ht="12.5" x14ac:dyDescent="0.25">
      <c r="D138" s="80"/>
      <c r="E138" s="81"/>
      <c r="F138" s="81"/>
    </row>
    <row r="139" spans="4:6" ht="12.5" x14ac:dyDescent="0.25">
      <c r="D139" s="80"/>
      <c r="E139" s="81"/>
      <c r="F139" s="81"/>
    </row>
    <row r="140" spans="4:6" ht="12.5" x14ac:dyDescent="0.25">
      <c r="D140" s="80"/>
      <c r="E140" s="81"/>
      <c r="F140" s="81"/>
    </row>
    <row r="141" spans="4:6" ht="12.5" x14ac:dyDescent="0.25">
      <c r="D141" s="80"/>
      <c r="E141" s="81"/>
      <c r="F141" s="81"/>
    </row>
    <row r="142" spans="4:6" ht="12.5" x14ac:dyDescent="0.25">
      <c r="D142" s="80"/>
      <c r="E142" s="81"/>
      <c r="F142" s="81"/>
    </row>
    <row r="143" spans="4:6" ht="12.5" x14ac:dyDescent="0.25">
      <c r="D143" s="80"/>
      <c r="E143" s="81"/>
      <c r="F143" s="81"/>
    </row>
    <row r="144" spans="4:6" ht="12.5" x14ac:dyDescent="0.25">
      <c r="D144" s="80"/>
      <c r="E144" s="81"/>
      <c r="F144" s="81"/>
    </row>
    <row r="145" spans="4:6" ht="12.5" x14ac:dyDescent="0.25">
      <c r="D145" s="80"/>
      <c r="E145" s="81"/>
      <c r="F145" s="81"/>
    </row>
    <row r="146" spans="4:6" ht="12.5" x14ac:dyDescent="0.25">
      <c r="D146" s="80"/>
      <c r="E146" s="81"/>
      <c r="F146" s="81"/>
    </row>
    <row r="147" spans="4:6" ht="12.5" x14ac:dyDescent="0.25">
      <c r="D147" s="80"/>
      <c r="E147" s="81"/>
      <c r="F147" s="81"/>
    </row>
    <row r="148" spans="4:6" ht="12.5" x14ac:dyDescent="0.25">
      <c r="D148" s="80"/>
      <c r="E148" s="81"/>
      <c r="F148" s="81"/>
    </row>
    <row r="149" spans="4:6" ht="12.5" x14ac:dyDescent="0.25">
      <c r="D149" s="80"/>
      <c r="E149" s="81"/>
      <c r="F149" s="81"/>
    </row>
    <row r="150" spans="4:6" ht="12.5" x14ac:dyDescent="0.25">
      <c r="D150" s="80"/>
      <c r="E150" s="81"/>
      <c r="F150" s="81"/>
    </row>
    <row r="151" spans="4:6" ht="12.5" x14ac:dyDescent="0.25">
      <c r="D151" s="80"/>
      <c r="E151" s="81"/>
      <c r="F151" s="81"/>
    </row>
    <row r="152" spans="4:6" ht="12.5" x14ac:dyDescent="0.25">
      <c r="D152" s="80"/>
      <c r="E152" s="81"/>
      <c r="F152" s="81"/>
    </row>
    <row r="153" spans="4:6" ht="12.5" x14ac:dyDescent="0.25">
      <c r="D153" s="80"/>
      <c r="E153" s="81"/>
      <c r="F153" s="81"/>
    </row>
    <row r="154" spans="4:6" ht="12.5" x14ac:dyDescent="0.25">
      <c r="D154" s="80"/>
      <c r="E154" s="81"/>
      <c r="F154" s="81"/>
    </row>
    <row r="155" spans="4:6" ht="12.5" x14ac:dyDescent="0.25">
      <c r="D155" s="80"/>
      <c r="E155" s="81"/>
      <c r="F155" s="81"/>
    </row>
    <row r="156" spans="4:6" ht="12.5" x14ac:dyDescent="0.25">
      <c r="D156" s="80"/>
      <c r="E156" s="81"/>
      <c r="F156" s="81"/>
    </row>
    <row r="157" spans="4:6" ht="12.5" x14ac:dyDescent="0.25">
      <c r="D157" s="80"/>
      <c r="E157" s="81"/>
      <c r="F157" s="81"/>
    </row>
    <row r="158" spans="4:6" ht="12.5" x14ac:dyDescent="0.25">
      <c r="D158" s="80"/>
      <c r="E158" s="81"/>
      <c r="F158" s="81"/>
    </row>
    <row r="159" spans="4:6" ht="12.5" x14ac:dyDescent="0.25">
      <c r="D159" s="80"/>
      <c r="E159" s="81"/>
      <c r="F159" s="81"/>
    </row>
    <row r="160" spans="4:6" ht="12.5" x14ac:dyDescent="0.25">
      <c r="D160" s="80"/>
      <c r="E160" s="81"/>
      <c r="F160" s="81"/>
    </row>
    <row r="161" spans="4:6" ht="12.5" x14ac:dyDescent="0.25">
      <c r="D161" s="80"/>
      <c r="E161" s="81"/>
      <c r="F161" s="81"/>
    </row>
    <row r="162" spans="4:6" ht="12.5" x14ac:dyDescent="0.25">
      <c r="D162" s="80"/>
      <c r="E162" s="81"/>
      <c r="F162" s="81"/>
    </row>
    <row r="163" spans="4:6" ht="12.5" x14ac:dyDescent="0.25">
      <c r="D163" s="80"/>
      <c r="E163" s="81"/>
      <c r="F163" s="81"/>
    </row>
    <row r="164" spans="4:6" ht="12.5" x14ac:dyDescent="0.25">
      <c r="D164" s="80"/>
      <c r="E164" s="81"/>
      <c r="F164" s="81"/>
    </row>
    <row r="165" spans="4:6" ht="12.5" x14ac:dyDescent="0.25">
      <c r="D165" s="80"/>
      <c r="E165" s="81"/>
      <c r="F165" s="81"/>
    </row>
    <row r="166" spans="4:6" ht="12.5" x14ac:dyDescent="0.25">
      <c r="D166" s="80"/>
      <c r="E166" s="81"/>
      <c r="F166" s="81"/>
    </row>
    <row r="167" spans="4:6" ht="12.5" x14ac:dyDescent="0.25">
      <c r="D167" s="80"/>
      <c r="E167" s="81"/>
      <c r="F167" s="81"/>
    </row>
    <row r="168" spans="4:6" ht="12.5" x14ac:dyDescent="0.25">
      <c r="D168" s="80"/>
      <c r="E168" s="81"/>
      <c r="F168" s="81"/>
    </row>
    <row r="169" spans="4:6" ht="12.5" x14ac:dyDescent="0.25">
      <c r="D169" s="80"/>
      <c r="E169" s="81"/>
      <c r="F169" s="81"/>
    </row>
    <row r="170" spans="4:6" ht="12.5" x14ac:dyDescent="0.25">
      <c r="D170" s="80"/>
      <c r="E170" s="81"/>
      <c r="F170" s="81"/>
    </row>
    <row r="171" spans="4:6" ht="12.5" x14ac:dyDescent="0.25">
      <c r="D171" s="80"/>
      <c r="E171" s="81"/>
      <c r="F171" s="81"/>
    </row>
    <row r="172" spans="4:6" ht="12.5" x14ac:dyDescent="0.25">
      <c r="D172" s="80"/>
      <c r="E172" s="81"/>
      <c r="F172" s="81"/>
    </row>
    <row r="173" spans="4:6" ht="12.5" x14ac:dyDescent="0.25">
      <c r="D173" s="80"/>
      <c r="E173" s="81"/>
      <c r="F173" s="81"/>
    </row>
    <row r="174" spans="4:6" ht="12.5" x14ac:dyDescent="0.25">
      <c r="D174" s="80"/>
      <c r="E174" s="81"/>
      <c r="F174" s="81"/>
    </row>
    <row r="175" spans="4:6" ht="12.5" x14ac:dyDescent="0.25">
      <c r="D175" s="80"/>
      <c r="E175" s="81"/>
      <c r="F175" s="81"/>
    </row>
    <row r="176" spans="4:6" ht="12.5" x14ac:dyDescent="0.25">
      <c r="D176" s="80"/>
      <c r="E176" s="81"/>
      <c r="F176" s="81"/>
    </row>
    <row r="177" spans="4:6" ht="12.5" x14ac:dyDescent="0.25">
      <c r="D177" s="80"/>
      <c r="E177" s="81"/>
      <c r="F177" s="81"/>
    </row>
    <row r="178" spans="4:6" ht="12.5" x14ac:dyDescent="0.25">
      <c r="D178" s="80"/>
      <c r="E178" s="81"/>
      <c r="F178" s="81"/>
    </row>
    <row r="179" spans="4:6" ht="12.5" x14ac:dyDescent="0.25">
      <c r="D179" s="80"/>
      <c r="E179" s="81"/>
      <c r="F179" s="81"/>
    </row>
    <row r="180" spans="4:6" ht="12.5" x14ac:dyDescent="0.25">
      <c r="D180" s="80"/>
      <c r="E180" s="81"/>
      <c r="F180" s="81"/>
    </row>
    <row r="181" spans="4:6" ht="12.5" x14ac:dyDescent="0.25">
      <c r="D181" s="80"/>
      <c r="E181" s="81"/>
      <c r="F181" s="81"/>
    </row>
    <row r="182" spans="4:6" ht="12.5" x14ac:dyDescent="0.25">
      <c r="D182" s="80"/>
      <c r="E182" s="81"/>
      <c r="F182" s="81"/>
    </row>
    <row r="183" spans="4:6" ht="12.5" x14ac:dyDescent="0.25">
      <c r="D183" s="80"/>
      <c r="E183" s="81"/>
      <c r="F183" s="81"/>
    </row>
    <row r="184" spans="4:6" ht="12.5" x14ac:dyDescent="0.25">
      <c r="D184" s="80"/>
      <c r="E184" s="81"/>
      <c r="F184" s="81"/>
    </row>
    <row r="185" spans="4:6" ht="12.5" x14ac:dyDescent="0.25">
      <c r="D185" s="80"/>
      <c r="E185" s="81"/>
      <c r="F185" s="81"/>
    </row>
    <row r="186" spans="4:6" ht="12.5" x14ac:dyDescent="0.25">
      <c r="D186" s="80"/>
      <c r="E186" s="81"/>
      <c r="F186" s="81"/>
    </row>
    <row r="187" spans="4:6" ht="12.5" x14ac:dyDescent="0.25">
      <c r="D187" s="80"/>
      <c r="E187" s="81"/>
      <c r="F187" s="81"/>
    </row>
    <row r="188" spans="4:6" ht="12.5" x14ac:dyDescent="0.25">
      <c r="D188" s="80"/>
      <c r="E188" s="81"/>
      <c r="F188" s="81"/>
    </row>
    <row r="189" spans="4:6" ht="12.5" x14ac:dyDescent="0.25">
      <c r="D189" s="80"/>
      <c r="E189" s="81"/>
      <c r="F189" s="81"/>
    </row>
    <row r="190" spans="4:6" ht="12.5" x14ac:dyDescent="0.25">
      <c r="D190" s="80"/>
      <c r="E190" s="81"/>
      <c r="F190" s="81"/>
    </row>
    <row r="191" spans="4:6" ht="12.5" x14ac:dyDescent="0.25">
      <c r="D191" s="80"/>
      <c r="E191" s="81"/>
      <c r="F191" s="81"/>
    </row>
    <row r="192" spans="4:6" ht="12.5" x14ac:dyDescent="0.25">
      <c r="D192" s="80"/>
      <c r="E192" s="81"/>
      <c r="F192" s="81"/>
    </row>
    <row r="193" spans="4:6" ht="12.5" x14ac:dyDescent="0.25">
      <c r="D193" s="80"/>
      <c r="E193" s="81"/>
      <c r="F193" s="81"/>
    </row>
    <row r="194" spans="4:6" ht="12.5" x14ac:dyDescent="0.25">
      <c r="D194" s="80"/>
      <c r="E194" s="81"/>
      <c r="F194" s="81"/>
    </row>
    <row r="195" spans="4:6" ht="12.5" x14ac:dyDescent="0.25">
      <c r="D195" s="80"/>
      <c r="E195" s="81"/>
      <c r="F195" s="81"/>
    </row>
    <row r="196" spans="4:6" ht="12.5" x14ac:dyDescent="0.25">
      <c r="D196" s="80"/>
      <c r="E196" s="81"/>
      <c r="F196" s="81"/>
    </row>
    <row r="197" spans="4:6" ht="12.5" x14ac:dyDescent="0.25">
      <c r="D197" s="80"/>
      <c r="E197" s="81"/>
      <c r="F197" s="81"/>
    </row>
    <row r="198" spans="4:6" ht="12.5" x14ac:dyDescent="0.25">
      <c r="D198" s="80"/>
      <c r="E198" s="81"/>
      <c r="F198" s="81"/>
    </row>
    <row r="199" spans="4:6" ht="12.5" x14ac:dyDescent="0.25">
      <c r="D199" s="80"/>
      <c r="E199" s="81"/>
      <c r="F199" s="81"/>
    </row>
    <row r="200" spans="4:6" ht="12.5" x14ac:dyDescent="0.25">
      <c r="D200" s="80"/>
      <c r="E200" s="81"/>
      <c r="F200" s="81"/>
    </row>
    <row r="201" spans="4:6" ht="12.5" x14ac:dyDescent="0.25">
      <c r="D201" s="80"/>
      <c r="E201" s="81"/>
      <c r="F201" s="81"/>
    </row>
    <row r="202" spans="4:6" ht="12.5" x14ac:dyDescent="0.25">
      <c r="D202" s="80"/>
      <c r="E202" s="81"/>
      <c r="F202" s="81"/>
    </row>
    <row r="203" spans="4:6" ht="12.5" x14ac:dyDescent="0.25">
      <c r="D203" s="80"/>
      <c r="E203" s="81"/>
      <c r="F203" s="81"/>
    </row>
    <row r="204" spans="4:6" ht="12.5" x14ac:dyDescent="0.25">
      <c r="D204" s="80"/>
      <c r="E204" s="81"/>
      <c r="F204" s="81"/>
    </row>
    <row r="205" spans="4:6" ht="12.5" x14ac:dyDescent="0.25">
      <c r="D205" s="80"/>
      <c r="E205" s="81"/>
      <c r="F205" s="81"/>
    </row>
    <row r="206" spans="4:6" ht="12.5" x14ac:dyDescent="0.25">
      <c r="D206" s="80"/>
      <c r="E206" s="81"/>
      <c r="F206" s="81"/>
    </row>
    <row r="207" spans="4:6" ht="12.5" x14ac:dyDescent="0.25">
      <c r="D207" s="80"/>
      <c r="E207" s="81"/>
      <c r="F207" s="81"/>
    </row>
    <row r="208" spans="4:6" ht="12.5" x14ac:dyDescent="0.25">
      <c r="D208" s="80"/>
      <c r="E208" s="81"/>
      <c r="F208" s="81"/>
    </row>
    <row r="209" spans="4:6" ht="12.5" x14ac:dyDescent="0.25">
      <c r="D209" s="80"/>
      <c r="E209" s="81"/>
      <c r="F209" s="81"/>
    </row>
    <row r="210" spans="4:6" ht="12.5" x14ac:dyDescent="0.25">
      <c r="D210" s="80"/>
      <c r="E210" s="81"/>
      <c r="F210" s="81"/>
    </row>
    <row r="211" spans="4:6" ht="12.5" x14ac:dyDescent="0.25">
      <c r="D211" s="80"/>
      <c r="E211" s="81"/>
      <c r="F211" s="81"/>
    </row>
    <row r="212" spans="4:6" ht="12.5" x14ac:dyDescent="0.25">
      <c r="D212" s="80"/>
      <c r="E212" s="81"/>
      <c r="F212" s="81"/>
    </row>
    <row r="213" spans="4:6" ht="12.5" x14ac:dyDescent="0.25">
      <c r="D213" s="80"/>
      <c r="E213" s="81"/>
      <c r="F213" s="81"/>
    </row>
    <row r="214" spans="4:6" ht="12.5" x14ac:dyDescent="0.25">
      <c r="D214" s="80"/>
      <c r="E214" s="81"/>
      <c r="F214" s="81"/>
    </row>
    <row r="215" spans="4:6" ht="12.5" x14ac:dyDescent="0.25">
      <c r="D215" s="80"/>
      <c r="E215" s="81"/>
      <c r="F215" s="81"/>
    </row>
    <row r="216" spans="4:6" ht="12.5" x14ac:dyDescent="0.25">
      <c r="D216" s="80"/>
      <c r="E216" s="81"/>
      <c r="F216" s="81"/>
    </row>
    <row r="217" spans="4:6" ht="12.5" x14ac:dyDescent="0.25">
      <c r="D217" s="80"/>
      <c r="E217" s="81"/>
      <c r="F217" s="81"/>
    </row>
    <row r="218" spans="4:6" ht="12.5" x14ac:dyDescent="0.25">
      <c r="D218" s="80"/>
      <c r="E218" s="81"/>
      <c r="F218" s="81"/>
    </row>
    <row r="219" spans="4:6" ht="12.5" x14ac:dyDescent="0.25">
      <c r="D219" s="80"/>
      <c r="E219" s="81"/>
      <c r="F219" s="81"/>
    </row>
    <row r="220" spans="4:6" ht="12.5" x14ac:dyDescent="0.25">
      <c r="D220" s="80"/>
      <c r="E220" s="81"/>
      <c r="F220" s="81"/>
    </row>
    <row r="221" spans="4:6" ht="12.5" x14ac:dyDescent="0.25">
      <c r="D221" s="80"/>
      <c r="E221" s="81"/>
      <c r="F221" s="81"/>
    </row>
    <row r="222" spans="4:6" ht="12.5" x14ac:dyDescent="0.25">
      <c r="D222" s="80"/>
      <c r="E222" s="81"/>
      <c r="F222" s="81"/>
    </row>
    <row r="223" spans="4:6" ht="12.5" x14ac:dyDescent="0.25">
      <c r="D223" s="80"/>
      <c r="E223" s="81"/>
      <c r="F223" s="81"/>
    </row>
    <row r="224" spans="4:6" ht="12.5" x14ac:dyDescent="0.25">
      <c r="D224" s="80"/>
      <c r="E224" s="81"/>
      <c r="F224" s="81"/>
    </row>
    <row r="225" spans="4:6" ht="12.5" x14ac:dyDescent="0.25">
      <c r="D225" s="80"/>
      <c r="E225" s="81"/>
      <c r="F225" s="81"/>
    </row>
    <row r="226" spans="4:6" ht="12.5" x14ac:dyDescent="0.25">
      <c r="D226" s="80"/>
      <c r="E226" s="81"/>
      <c r="F226" s="81"/>
    </row>
    <row r="227" spans="4:6" ht="12.5" x14ac:dyDescent="0.25">
      <c r="D227" s="80"/>
      <c r="E227" s="81"/>
      <c r="F227" s="81"/>
    </row>
    <row r="228" spans="4:6" ht="12.5" x14ac:dyDescent="0.25">
      <c r="D228" s="80"/>
      <c r="E228" s="81"/>
      <c r="F228" s="81"/>
    </row>
    <row r="229" spans="4:6" ht="12.5" x14ac:dyDescent="0.25">
      <c r="D229" s="80"/>
      <c r="E229" s="81"/>
      <c r="F229" s="81"/>
    </row>
    <row r="230" spans="4:6" ht="12.5" x14ac:dyDescent="0.25">
      <c r="D230" s="80"/>
      <c r="E230" s="81"/>
      <c r="F230" s="81"/>
    </row>
    <row r="231" spans="4:6" ht="12.5" x14ac:dyDescent="0.25">
      <c r="D231" s="80"/>
      <c r="E231" s="81"/>
      <c r="F231" s="81"/>
    </row>
    <row r="232" spans="4:6" ht="12.5" x14ac:dyDescent="0.25">
      <c r="D232" s="80"/>
      <c r="E232" s="81"/>
      <c r="F232" s="81"/>
    </row>
    <row r="233" spans="4:6" ht="12.5" x14ac:dyDescent="0.25">
      <c r="D233" s="80"/>
      <c r="E233" s="81"/>
      <c r="F233" s="81"/>
    </row>
    <row r="234" spans="4:6" ht="12.5" x14ac:dyDescent="0.25">
      <c r="D234" s="80"/>
      <c r="E234" s="81"/>
      <c r="F234" s="81"/>
    </row>
    <row r="235" spans="4:6" ht="12.5" x14ac:dyDescent="0.25">
      <c r="D235" s="80"/>
      <c r="E235" s="81"/>
      <c r="F235" s="81"/>
    </row>
    <row r="236" spans="4:6" ht="12.5" x14ac:dyDescent="0.25">
      <c r="D236" s="80"/>
      <c r="E236" s="81"/>
      <c r="F236" s="81"/>
    </row>
    <row r="237" spans="4:6" ht="12.5" x14ac:dyDescent="0.25">
      <c r="D237" s="80"/>
      <c r="E237" s="81"/>
      <c r="F237" s="81"/>
    </row>
    <row r="238" spans="4:6" ht="12.5" x14ac:dyDescent="0.25">
      <c r="D238" s="80"/>
      <c r="E238" s="81"/>
      <c r="F238" s="81"/>
    </row>
    <row r="239" spans="4:6" ht="12.5" x14ac:dyDescent="0.25">
      <c r="D239" s="80"/>
      <c r="E239" s="81"/>
      <c r="F239" s="81"/>
    </row>
    <row r="240" spans="4:6" ht="12.5" x14ac:dyDescent="0.25">
      <c r="D240" s="80"/>
      <c r="E240" s="81"/>
      <c r="F240" s="81"/>
    </row>
    <row r="241" spans="4:6" ht="12.5" x14ac:dyDescent="0.25">
      <c r="D241" s="80"/>
      <c r="E241" s="81"/>
      <c r="F241" s="81"/>
    </row>
    <row r="242" spans="4:6" ht="12.5" x14ac:dyDescent="0.25">
      <c r="D242" s="80"/>
      <c r="E242" s="81"/>
      <c r="F242" s="81"/>
    </row>
    <row r="243" spans="4:6" ht="12.5" x14ac:dyDescent="0.25">
      <c r="D243" s="80"/>
      <c r="E243" s="81"/>
      <c r="F243" s="81"/>
    </row>
    <row r="244" spans="4:6" ht="12.5" x14ac:dyDescent="0.25">
      <c r="D244" s="80"/>
      <c r="E244" s="81"/>
      <c r="F244" s="81"/>
    </row>
    <row r="245" spans="4:6" ht="12.5" x14ac:dyDescent="0.25">
      <c r="D245" s="80"/>
      <c r="E245" s="81"/>
      <c r="F245" s="81"/>
    </row>
    <row r="246" spans="4:6" ht="12.5" x14ac:dyDescent="0.25">
      <c r="D246" s="80"/>
      <c r="E246" s="81"/>
      <c r="F246" s="81"/>
    </row>
    <row r="247" spans="4:6" ht="12.5" x14ac:dyDescent="0.25">
      <c r="D247" s="80"/>
      <c r="E247" s="81"/>
      <c r="F247" s="81"/>
    </row>
    <row r="248" spans="4:6" ht="12.5" x14ac:dyDescent="0.25">
      <c r="D248" s="80"/>
      <c r="E248" s="81"/>
      <c r="F248" s="81"/>
    </row>
    <row r="249" spans="4:6" ht="12.5" x14ac:dyDescent="0.25">
      <c r="D249" s="80"/>
      <c r="E249" s="81"/>
      <c r="F249" s="81"/>
    </row>
    <row r="250" spans="4:6" ht="12.5" x14ac:dyDescent="0.25">
      <c r="D250" s="80"/>
      <c r="E250" s="81"/>
      <c r="F250" s="81"/>
    </row>
    <row r="251" spans="4:6" ht="12.5" x14ac:dyDescent="0.25">
      <c r="D251" s="80"/>
      <c r="E251" s="81"/>
      <c r="F251" s="81"/>
    </row>
    <row r="252" spans="4:6" ht="12.5" x14ac:dyDescent="0.25">
      <c r="D252" s="80"/>
      <c r="E252" s="81"/>
      <c r="F252" s="81"/>
    </row>
    <row r="253" spans="4:6" ht="12.5" x14ac:dyDescent="0.25">
      <c r="D253" s="80"/>
      <c r="E253" s="81"/>
      <c r="F253" s="81"/>
    </row>
    <row r="254" spans="4:6" ht="12.5" x14ac:dyDescent="0.25">
      <c r="D254" s="80"/>
      <c r="E254" s="81"/>
      <c r="F254" s="81"/>
    </row>
    <row r="255" spans="4:6" ht="12.5" x14ac:dyDescent="0.25">
      <c r="D255" s="80"/>
      <c r="E255" s="81"/>
      <c r="F255" s="81"/>
    </row>
    <row r="256" spans="4:6" ht="12.5" x14ac:dyDescent="0.25">
      <c r="D256" s="80"/>
      <c r="E256" s="81"/>
      <c r="F256" s="81"/>
    </row>
    <row r="257" spans="4:6" ht="12.5" x14ac:dyDescent="0.25">
      <c r="D257" s="80"/>
      <c r="E257" s="81"/>
      <c r="F257" s="81"/>
    </row>
    <row r="258" spans="4:6" ht="12.5" x14ac:dyDescent="0.25">
      <c r="D258" s="80"/>
      <c r="E258" s="81"/>
      <c r="F258" s="81"/>
    </row>
    <row r="259" spans="4:6" ht="12.5" x14ac:dyDescent="0.25">
      <c r="D259" s="80"/>
      <c r="E259" s="81"/>
      <c r="F259" s="81"/>
    </row>
    <row r="260" spans="4:6" ht="12.5" x14ac:dyDescent="0.25">
      <c r="D260" s="80"/>
      <c r="E260" s="81"/>
      <c r="F260" s="81"/>
    </row>
    <row r="261" spans="4:6" ht="12.5" x14ac:dyDescent="0.25">
      <c r="D261" s="80"/>
      <c r="E261" s="81"/>
      <c r="F261" s="81"/>
    </row>
    <row r="262" spans="4:6" ht="12.5" x14ac:dyDescent="0.25">
      <c r="D262" s="80"/>
      <c r="E262" s="81"/>
      <c r="F262" s="81"/>
    </row>
    <row r="263" spans="4:6" ht="12.5" x14ac:dyDescent="0.25">
      <c r="D263" s="80"/>
      <c r="E263" s="81"/>
      <c r="F263" s="81"/>
    </row>
    <row r="264" spans="4:6" ht="12.5" x14ac:dyDescent="0.25">
      <c r="D264" s="80"/>
      <c r="E264" s="81"/>
      <c r="F264" s="81"/>
    </row>
    <row r="265" spans="4:6" ht="12.5" x14ac:dyDescent="0.25">
      <c r="D265" s="80"/>
      <c r="E265" s="81"/>
      <c r="F265" s="81"/>
    </row>
    <row r="266" spans="4:6" ht="12.5" x14ac:dyDescent="0.25">
      <c r="D266" s="80"/>
      <c r="E266" s="81"/>
      <c r="F266" s="81"/>
    </row>
    <row r="267" spans="4:6" ht="12.5" x14ac:dyDescent="0.25">
      <c r="D267" s="80"/>
      <c r="E267" s="81"/>
      <c r="F267" s="81"/>
    </row>
    <row r="268" spans="4:6" ht="12.5" x14ac:dyDescent="0.25">
      <c r="D268" s="80"/>
      <c r="E268" s="81"/>
      <c r="F268" s="81"/>
    </row>
    <row r="269" spans="4:6" ht="12.5" x14ac:dyDescent="0.25">
      <c r="D269" s="80"/>
      <c r="E269" s="81"/>
      <c r="F269" s="81"/>
    </row>
    <row r="270" spans="4:6" ht="12.5" x14ac:dyDescent="0.25">
      <c r="D270" s="80"/>
      <c r="E270" s="81"/>
      <c r="F270" s="81"/>
    </row>
    <row r="271" spans="4:6" ht="12.5" x14ac:dyDescent="0.25">
      <c r="D271" s="80"/>
      <c r="E271" s="81"/>
      <c r="F271" s="81"/>
    </row>
    <row r="272" spans="4:6" ht="12.5" x14ac:dyDescent="0.25">
      <c r="D272" s="80"/>
      <c r="E272" s="81"/>
      <c r="F272" s="81"/>
    </row>
    <row r="273" spans="4:6" ht="12.5" x14ac:dyDescent="0.25">
      <c r="D273" s="80"/>
      <c r="E273" s="81"/>
      <c r="F273" s="81"/>
    </row>
    <row r="274" spans="4:6" ht="12.5" x14ac:dyDescent="0.25">
      <c r="D274" s="80"/>
      <c r="E274" s="81"/>
      <c r="F274" s="81"/>
    </row>
    <row r="275" spans="4:6" ht="12.5" x14ac:dyDescent="0.25">
      <c r="D275" s="80"/>
      <c r="E275" s="81"/>
      <c r="F275" s="81"/>
    </row>
    <row r="276" spans="4:6" ht="12.5" x14ac:dyDescent="0.25">
      <c r="D276" s="80"/>
      <c r="E276" s="81"/>
      <c r="F276" s="81"/>
    </row>
    <row r="277" spans="4:6" ht="12.5" x14ac:dyDescent="0.25">
      <c r="D277" s="80"/>
      <c r="E277" s="81"/>
      <c r="F277" s="81"/>
    </row>
    <row r="278" spans="4:6" ht="12.5" x14ac:dyDescent="0.25">
      <c r="D278" s="80"/>
      <c r="E278" s="81"/>
      <c r="F278" s="81"/>
    </row>
    <row r="279" spans="4:6" ht="12.5" x14ac:dyDescent="0.25">
      <c r="D279" s="80"/>
      <c r="E279" s="81"/>
      <c r="F279" s="81"/>
    </row>
    <row r="280" spans="4:6" ht="12.5" x14ac:dyDescent="0.25">
      <c r="D280" s="80"/>
      <c r="E280" s="81"/>
      <c r="F280" s="81"/>
    </row>
    <row r="281" spans="4:6" ht="12.5" x14ac:dyDescent="0.25">
      <c r="D281" s="80"/>
      <c r="E281" s="81"/>
      <c r="F281" s="81"/>
    </row>
    <row r="282" spans="4:6" ht="12.5" x14ac:dyDescent="0.25">
      <c r="D282" s="80"/>
      <c r="E282" s="81"/>
      <c r="F282" s="81"/>
    </row>
    <row r="283" spans="4:6" ht="12.5" x14ac:dyDescent="0.25">
      <c r="D283" s="80"/>
      <c r="E283" s="81"/>
      <c r="F283" s="81"/>
    </row>
    <row r="284" spans="4:6" ht="12.5" x14ac:dyDescent="0.25">
      <c r="D284" s="80"/>
      <c r="E284" s="81"/>
      <c r="F284" s="81"/>
    </row>
    <row r="285" spans="4:6" ht="12.5" x14ac:dyDescent="0.25">
      <c r="D285" s="80"/>
      <c r="E285" s="81"/>
      <c r="F285" s="81"/>
    </row>
    <row r="286" spans="4:6" ht="12.5" x14ac:dyDescent="0.25">
      <c r="D286" s="80"/>
      <c r="E286" s="81"/>
      <c r="F286" s="81"/>
    </row>
    <row r="287" spans="4:6" ht="12.5" x14ac:dyDescent="0.25">
      <c r="D287" s="80"/>
      <c r="E287" s="81"/>
      <c r="F287" s="81"/>
    </row>
    <row r="288" spans="4:6" ht="12.5" x14ac:dyDescent="0.25">
      <c r="D288" s="80"/>
      <c r="E288" s="81"/>
      <c r="F288" s="81"/>
    </row>
    <row r="289" spans="4:6" ht="12.5" x14ac:dyDescent="0.25">
      <c r="D289" s="80"/>
      <c r="E289" s="81"/>
      <c r="F289" s="81"/>
    </row>
    <row r="290" spans="4:6" ht="12.5" x14ac:dyDescent="0.25">
      <c r="D290" s="80"/>
      <c r="E290" s="81"/>
      <c r="F290" s="81"/>
    </row>
    <row r="291" spans="4:6" ht="12.5" x14ac:dyDescent="0.25">
      <c r="D291" s="80"/>
      <c r="E291" s="81"/>
      <c r="F291" s="81"/>
    </row>
    <row r="292" spans="4:6" ht="12.5" x14ac:dyDescent="0.25">
      <c r="D292" s="80"/>
      <c r="E292" s="81"/>
      <c r="F292" s="81"/>
    </row>
    <row r="293" spans="4:6" ht="12.5" x14ac:dyDescent="0.25">
      <c r="D293" s="80"/>
      <c r="E293" s="81"/>
      <c r="F293" s="81"/>
    </row>
    <row r="294" spans="4:6" ht="12.5" x14ac:dyDescent="0.25">
      <c r="D294" s="80"/>
      <c r="E294" s="81"/>
      <c r="F294" s="81"/>
    </row>
    <row r="295" spans="4:6" ht="12.5" x14ac:dyDescent="0.25">
      <c r="D295" s="80"/>
      <c r="E295" s="81"/>
      <c r="F295" s="81"/>
    </row>
    <row r="296" spans="4:6" ht="12.5" x14ac:dyDescent="0.25">
      <c r="D296" s="80"/>
      <c r="E296" s="81"/>
      <c r="F296" s="81"/>
    </row>
    <row r="297" spans="4:6" ht="12.5" x14ac:dyDescent="0.25">
      <c r="D297" s="80"/>
      <c r="E297" s="81"/>
      <c r="F297" s="81"/>
    </row>
    <row r="298" spans="4:6" ht="12.5" x14ac:dyDescent="0.25">
      <c r="D298" s="80"/>
      <c r="E298" s="81"/>
      <c r="F298" s="81"/>
    </row>
    <row r="299" spans="4:6" ht="12.5" x14ac:dyDescent="0.25">
      <c r="D299" s="80"/>
      <c r="E299" s="81"/>
      <c r="F299" s="81"/>
    </row>
    <row r="300" spans="4:6" ht="12.5" x14ac:dyDescent="0.25">
      <c r="D300" s="80"/>
      <c r="E300" s="81"/>
      <c r="F300" s="81"/>
    </row>
    <row r="301" spans="4:6" ht="12.5" x14ac:dyDescent="0.25">
      <c r="D301" s="80"/>
      <c r="E301" s="81"/>
      <c r="F301" s="81"/>
    </row>
    <row r="302" spans="4:6" ht="12.5" x14ac:dyDescent="0.25">
      <c r="D302" s="80"/>
      <c r="E302" s="81"/>
      <c r="F302" s="81"/>
    </row>
    <row r="303" spans="4:6" ht="12.5" x14ac:dyDescent="0.25">
      <c r="D303" s="80"/>
      <c r="E303" s="81"/>
      <c r="F303" s="81"/>
    </row>
    <row r="304" spans="4:6" ht="12.5" x14ac:dyDescent="0.25">
      <c r="D304" s="80"/>
      <c r="E304" s="81"/>
      <c r="F304" s="81"/>
    </row>
    <row r="305" spans="4:6" ht="12.5" x14ac:dyDescent="0.25">
      <c r="D305" s="80"/>
      <c r="E305" s="81"/>
      <c r="F305" s="81"/>
    </row>
    <row r="306" spans="4:6" ht="12.5" x14ac:dyDescent="0.25">
      <c r="D306" s="80"/>
      <c r="E306" s="81"/>
      <c r="F306" s="81"/>
    </row>
    <row r="307" spans="4:6" ht="12.5" x14ac:dyDescent="0.25">
      <c r="D307" s="80"/>
      <c r="E307" s="81"/>
      <c r="F307" s="81"/>
    </row>
    <row r="308" spans="4:6" ht="12.5" x14ac:dyDescent="0.25">
      <c r="D308" s="80"/>
      <c r="E308" s="81"/>
      <c r="F308" s="81"/>
    </row>
    <row r="309" spans="4:6" ht="12.5" x14ac:dyDescent="0.25">
      <c r="D309" s="80"/>
      <c r="E309" s="81"/>
      <c r="F309" s="81"/>
    </row>
    <row r="310" spans="4:6" ht="12.5" x14ac:dyDescent="0.25">
      <c r="D310" s="80"/>
      <c r="E310" s="81"/>
      <c r="F310" s="81"/>
    </row>
    <row r="311" spans="4:6" ht="12.5" x14ac:dyDescent="0.25">
      <c r="D311" s="80"/>
      <c r="E311" s="81"/>
      <c r="F311" s="81"/>
    </row>
    <row r="312" spans="4:6" ht="12.5" x14ac:dyDescent="0.25">
      <c r="D312" s="80"/>
      <c r="E312" s="81"/>
      <c r="F312" s="81"/>
    </row>
    <row r="313" spans="4:6" ht="12.5" x14ac:dyDescent="0.25">
      <c r="D313" s="80"/>
      <c r="E313" s="81"/>
      <c r="F313" s="81"/>
    </row>
    <row r="314" spans="4:6" ht="12.5" x14ac:dyDescent="0.25">
      <c r="D314" s="80"/>
      <c r="E314" s="81"/>
      <c r="F314" s="81"/>
    </row>
    <row r="315" spans="4:6" ht="12.5" x14ac:dyDescent="0.25">
      <c r="D315" s="80"/>
      <c r="E315" s="81"/>
      <c r="F315" s="81"/>
    </row>
    <row r="316" spans="4:6" ht="12.5" x14ac:dyDescent="0.25">
      <c r="D316" s="80"/>
      <c r="E316" s="81"/>
      <c r="F316" s="81"/>
    </row>
    <row r="317" spans="4:6" ht="12.5" x14ac:dyDescent="0.25">
      <c r="D317" s="80"/>
      <c r="E317" s="81"/>
      <c r="F317" s="81"/>
    </row>
    <row r="318" spans="4:6" ht="12.5" x14ac:dyDescent="0.25">
      <c r="D318" s="80"/>
      <c r="E318" s="81"/>
      <c r="F318" s="81"/>
    </row>
    <row r="319" spans="4:6" ht="12.5" x14ac:dyDescent="0.25">
      <c r="D319" s="80"/>
      <c r="E319" s="81"/>
      <c r="F319" s="81"/>
    </row>
    <row r="320" spans="4:6" ht="12.5" x14ac:dyDescent="0.25">
      <c r="D320" s="80"/>
      <c r="E320" s="81"/>
      <c r="F320" s="81"/>
    </row>
    <row r="321" spans="4:6" ht="12.5" x14ac:dyDescent="0.25">
      <c r="D321" s="80"/>
      <c r="E321" s="81"/>
      <c r="F321" s="81"/>
    </row>
    <row r="322" spans="4:6" ht="12.5" x14ac:dyDescent="0.25">
      <c r="D322" s="80"/>
      <c r="E322" s="81"/>
      <c r="F322" s="81"/>
    </row>
    <row r="323" spans="4:6" ht="12.5" x14ac:dyDescent="0.25">
      <c r="D323" s="80"/>
      <c r="E323" s="81"/>
      <c r="F323" s="81"/>
    </row>
    <row r="324" spans="4:6" ht="12.5" x14ac:dyDescent="0.25">
      <c r="D324" s="80"/>
      <c r="E324" s="81"/>
      <c r="F324" s="81"/>
    </row>
    <row r="325" spans="4:6" ht="12.5" x14ac:dyDescent="0.25">
      <c r="D325" s="80"/>
      <c r="E325" s="81"/>
      <c r="F325" s="81"/>
    </row>
    <row r="326" spans="4:6" ht="12.5" x14ac:dyDescent="0.25">
      <c r="D326" s="80"/>
      <c r="E326" s="81"/>
      <c r="F326" s="81"/>
    </row>
    <row r="327" spans="4:6" ht="12.5" x14ac:dyDescent="0.25">
      <c r="D327" s="80"/>
      <c r="E327" s="81"/>
      <c r="F327" s="81"/>
    </row>
    <row r="328" spans="4:6" ht="12.5" x14ac:dyDescent="0.25">
      <c r="D328" s="80"/>
      <c r="E328" s="81"/>
      <c r="F328" s="81"/>
    </row>
    <row r="329" spans="4:6" ht="12.5" x14ac:dyDescent="0.25">
      <c r="D329" s="80"/>
      <c r="E329" s="81"/>
      <c r="F329" s="81"/>
    </row>
    <row r="330" spans="4:6" ht="12.5" x14ac:dyDescent="0.25">
      <c r="D330" s="80"/>
      <c r="E330" s="81"/>
      <c r="F330" s="81"/>
    </row>
    <row r="331" spans="4:6" ht="12.5" x14ac:dyDescent="0.25">
      <c r="D331" s="80"/>
      <c r="E331" s="81"/>
      <c r="F331" s="81"/>
    </row>
    <row r="332" spans="4:6" ht="12.5" x14ac:dyDescent="0.25">
      <c r="D332" s="80"/>
      <c r="E332" s="81"/>
      <c r="F332" s="81"/>
    </row>
    <row r="333" spans="4:6" ht="12.5" x14ac:dyDescent="0.25">
      <c r="D333" s="80"/>
      <c r="E333" s="81"/>
      <c r="F333" s="81"/>
    </row>
    <row r="334" spans="4:6" ht="12.5" x14ac:dyDescent="0.25">
      <c r="D334" s="80"/>
      <c r="E334" s="81"/>
      <c r="F334" s="81"/>
    </row>
    <row r="335" spans="4:6" ht="12.5" x14ac:dyDescent="0.25">
      <c r="D335" s="80"/>
      <c r="E335" s="81"/>
      <c r="F335" s="81"/>
    </row>
    <row r="336" spans="4:6" ht="12.5" x14ac:dyDescent="0.25">
      <c r="D336" s="80"/>
      <c r="E336" s="81"/>
      <c r="F336" s="81"/>
    </row>
    <row r="337" spans="4:6" ht="12.5" x14ac:dyDescent="0.25">
      <c r="D337" s="80"/>
      <c r="E337" s="81"/>
      <c r="F337" s="81"/>
    </row>
    <row r="338" spans="4:6" ht="12.5" x14ac:dyDescent="0.25">
      <c r="D338" s="80"/>
      <c r="E338" s="81"/>
      <c r="F338" s="81"/>
    </row>
    <row r="339" spans="4:6" ht="12.5" x14ac:dyDescent="0.25">
      <c r="D339" s="80"/>
      <c r="E339" s="81"/>
      <c r="F339" s="81"/>
    </row>
    <row r="340" spans="4:6" ht="12.5" x14ac:dyDescent="0.25">
      <c r="D340" s="80"/>
      <c r="E340" s="81"/>
      <c r="F340" s="81"/>
    </row>
    <row r="341" spans="4:6" ht="12.5" x14ac:dyDescent="0.25">
      <c r="D341" s="80"/>
      <c r="E341" s="81"/>
      <c r="F341" s="81"/>
    </row>
    <row r="342" spans="4:6" ht="12.5" x14ac:dyDescent="0.25">
      <c r="D342" s="80"/>
      <c r="E342" s="81"/>
      <c r="F342" s="81"/>
    </row>
    <row r="343" spans="4:6" ht="12.5" x14ac:dyDescent="0.25">
      <c r="D343" s="80"/>
      <c r="E343" s="81"/>
      <c r="F343" s="81"/>
    </row>
    <row r="344" spans="4:6" ht="12.5" x14ac:dyDescent="0.25">
      <c r="D344" s="80"/>
      <c r="E344" s="81"/>
      <c r="F344" s="81"/>
    </row>
    <row r="345" spans="4:6" ht="12.5" x14ac:dyDescent="0.25">
      <c r="D345" s="80"/>
      <c r="E345" s="81"/>
      <c r="F345" s="81"/>
    </row>
    <row r="346" spans="4:6" ht="12.5" x14ac:dyDescent="0.25">
      <c r="D346" s="80"/>
      <c r="E346" s="81"/>
      <c r="F346" s="81"/>
    </row>
    <row r="347" spans="4:6" ht="12.5" x14ac:dyDescent="0.25">
      <c r="D347" s="80"/>
      <c r="E347" s="81"/>
      <c r="F347" s="81"/>
    </row>
    <row r="348" spans="4:6" ht="12.5" x14ac:dyDescent="0.25">
      <c r="D348" s="80"/>
      <c r="E348" s="81"/>
      <c r="F348" s="81"/>
    </row>
    <row r="349" spans="4:6" ht="12.5" x14ac:dyDescent="0.25">
      <c r="D349" s="80"/>
      <c r="E349" s="81"/>
      <c r="F349" s="81"/>
    </row>
    <row r="350" spans="4:6" ht="12.5" x14ac:dyDescent="0.25">
      <c r="D350" s="80"/>
      <c r="E350" s="81"/>
      <c r="F350" s="81"/>
    </row>
    <row r="351" spans="4:6" ht="12.5" x14ac:dyDescent="0.25">
      <c r="D351" s="80"/>
      <c r="E351" s="81"/>
      <c r="F351" s="81"/>
    </row>
    <row r="352" spans="4:6" ht="12.5" x14ac:dyDescent="0.25">
      <c r="D352" s="80"/>
      <c r="E352" s="81"/>
      <c r="F352" s="81"/>
    </row>
    <row r="353" spans="4:6" ht="12.5" x14ac:dyDescent="0.25">
      <c r="D353" s="80"/>
      <c r="E353" s="81"/>
      <c r="F353" s="81"/>
    </row>
    <row r="354" spans="4:6" ht="12.5" x14ac:dyDescent="0.25">
      <c r="D354" s="80"/>
      <c r="E354" s="81"/>
      <c r="F354" s="81"/>
    </row>
    <row r="355" spans="4:6" ht="12.5" x14ac:dyDescent="0.25">
      <c r="D355" s="80"/>
      <c r="E355" s="81"/>
      <c r="F355" s="81"/>
    </row>
    <row r="356" spans="4:6" ht="12.5" x14ac:dyDescent="0.25">
      <c r="D356" s="80"/>
      <c r="E356" s="81"/>
      <c r="F356" s="81"/>
    </row>
    <row r="357" spans="4:6" ht="12.5" x14ac:dyDescent="0.25">
      <c r="D357" s="80"/>
      <c r="E357" s="81"/>
      <c r="F357" s="81"/>
    </row>
    <row r="358" spans="4:6" ht="12.5" x14ac:dyDescent="0.25">
      <c r="D358" s="80"/>
      <c r="E358" s="81"/>
      <c r="F358" s="81"/>
    </row>
    <row r="359" spans="4:6" ht="12.5" x14ac:dyDescent="0.25">
      <c r="D359" s="80"/>
      <c r="E359" s="81"/>
      <c r="F359" s="81"/>
    </row>
    <row r="360" spans="4:6" ht="12.5" x14ac:dyDescent="0.25">
      <c r="D360" s="80"/>
      <c r="E360" s="81"/>
      <c r="F360" s="81"/>
    </row>
    <row r="361" spans="4:6" ht="12.5" x14ac:dyDescent="0.25">
      <c r="D361" s="80"/>
      <c r="E361" s="81"/>
      <c r="F361" s="81"/>
    </row>
    <row r="362" spans="4:6" ht="12.5" x14ac:dyDescent="0.25">
      <c r="D362" s="80"/>
      <c r="E362" s="81"/>
      <c r="F362" s="81"/>
    </row>
    <row r="363" spans="4:6" ht="12.5" x14ac:dyDescent="0.25">
      <c r="D363" s="80"/>
      <c r="E363" s="81"/>
      <c r="F363" s="81"/>
    </row>
    <row r="364" spans="4:6" ht="12.5" x14ac:dyDescent="0.25">
      <c r="D364" s="80"/>
      <c r="E364" s="81"/>
      <c r="F364" s="81"/>
    </row>
    <row r="365" spans="4:6" ht="12.5" x14ac:dyDescent="0.25">
      <c r="D365" s="80"/>
      <c r="E365" s="81"/>
      <c r="F365" s="81"/>
    </row>
    <row r="366" spans="4:6" ht="12.5" x14ac:dyDescent="0.25">
      <c r="D366" s="80"/>
      <c r="E366" s="81"/>
      <c r="F366" s="81"/>
    </row>
    <row r="367" spans="4:6" ht="12.5" x14ac:dyDescent="0.25">
      <c r="D367" s="80"/>
      <c r="E367" s="81"/>
      <c r="F367" s="81"/>
    </row>
    <row r="368" spans="4:6" ht="12.5" x14ac:dyDescent="0.25">
      <c r="D368" s="80"/>
      <c r="E368" s="81"/>
      <c r="F368" s="81"/>
    </row>
    <row r="369" spans="4:6" ht="12.5" x14ac:dyDescent="0.25">
      <c r="D369" s="80"/>
      <c r="E369" s="81"/>
      <c r="F369" s="81"/>
    </row>
    <row r="370" spans="4:6" ht="12.5" x14ac:dyDescent="0.25">
      <c r="D370" s="80"/>
      <c r="E370" s="81"/>
      <c r="F370" s="81"/>
    </row>
    <row r="371" spans="4:6" ht="12.5" x14ac:dyDescent="0.25">
      <c r="D371" s="80"/>
      <c r="E371" s="81"/>
      <c r="F371" s="81"/>
    </row>
    <row r="372" spans="4:6" ht="12.5" x14ac:dyDescent="0.25">
      <c r="D372" s="80"/>
      <c r="E372" s="81"/>
      <c r="F372" s="81"/>
    </row>
    <row r="373" spans="4:6" ht="12.5" x14ac:dyDescent="0.25">
      <c r="D373" s="80"/>
      <c r="E373" s="81"/>
      <c r="F373" s="81"/>
    </row>
    <row r="374" spans="4:6" ht="12.5" x14ac:dyDescent="0.25">
      <c r="D374" s="80"/>
      <c r="E374" s="81"/>
      <c r="F374" s="81"/>
    </row>
    <row r="375" spans="4:6" ht="12.5" x14ac:dyDescent="0.25">
      <c r="D375" s="80"/>
      <c r="E375" s="81"/>
      <c r="F375" s="81"/>
    </row>
    <row r="376" spans="4:6" ht="12.5" x14ac:dyDescent="0.25">
      <c r="D376" s="80"/>
      <c r="E376" s="81"/>
      <c r="F376" s="81"/>
    </row>
    <row r="377" spans="4:6" ht="12.5" x14ac:dyDescent="0.25">
      <c r="D377" s="80"/>
      <c r="E377" s="81"/>
      <c r="F377" s="81"/>
    </row>
    <row r="378" spans="4:6" ht="12.5" x14ac:dyDescent="0.25">
      <c r="D378" s="80"/>
      <c r="E378" s="81"/>
      <c r="F378" s="81"/>
    </row>
    <row r="379" spans="4:6" ht="12.5" x14ac:dyDescent="0.25">
      <c r="D379" s="80"/>
      <c r="E379" s="81"/>
      <c r="F379" s="81"/>
    </row>
    <row r="380" spans="4:6" ht="12.5" x14ac:dyDescent="0.25">
      <c r="D380" s="80"/>
      <c r="E380" s="81"/>
      <c r="F380" s="81"/>
    </row>
    <row r="381" spans="4:6" ht="12.5" x14ac:dyDescent="0.25">
      <c r="D381" s="80"/>
      <c r="E381" s="81"/>
      <c r="F381" s="81"/>
    </row>
    <row r="382" spans="4:6" ht="12.5" x14ac:dyDescent="0.25">
      <c r="D382" s="80"/>
      <c r="E382" s="81"/>
      <c r="F382" s="81"/>
    </row>
    <row r="383" spans="4:6" ht="12.5" x14ac:dyDescent="0.25">
      <c r="D383" s="80"/>
      <c r="E383" s="81"/>
      <c r="F383" s="81"/>
    </row>
    <row r="384" spans="4:6" ht="12.5" x14ac:dyDescent="0.25">
      <c r="D384" s="80"/>
      <c r="E384" s="81"/>
      <c r="F384" s="81"/>
    </row>
    <row r="385" spans="4:6" ht="12.5" x14ac:dyDescent="0.25">
      <c r="D385" s="80"/>
      <c r="E385" s="81"/>
      <c r="F385" s="81"/>
    </row>
    <row r="386" spans="4:6" ht="12.5" x14ac:dyDescent="0.25">
      <c r="D386" s="80"/>
      <c r="E386" s="81"/>
      <c r="F386" s="81"/>
    </row>
    <row r="387" spans="4:6" ht="12.5" x14ac:dyDescent="0.25">
      <c r="D387" s="80"/>
      <c r="E387" s="81"/>
      <c r="F387" s="81"/>
    </row>
    <row r="388" spans="4:6" ht="12.5" x14ac:dyDescent="0.25">
      <c r="D388" s="80"/>
      <c r="E388" s="81"/>
      <c r="F388" s="81"/>
    </row>
    <row r="389" spans="4:6" ht="12.5" x14ac:dyDescent="0.25">
      <c r="D389" s="80"/>
      <c r="E389" s="81"/>
      <c r="F389" s="81"/>
    </row>
    <row r="390" spans="4:6" ht="12.5" x14ac:dyDescent="0.25">
      <c r="D390" s="80"/>
      <c r="E390" s="81"/>
      <c r="F390" s="81"/>
    </row>
    <row r="391" spans="4:6" ht="12.5" x14ac:dyDescent="0.25">
      <c r="D391" s="80"/>
      <c r="E391" s="81"/>
      <c r="F391" s="81"/>
    </row>
    <row r="392" spans="4:6" ht="12.5" x14ac:dyDescent="0.25">
      <c r="D392" s="80"/>
      <c r="E392" s="81"/>
      <c r="F392" s="81"/>
    </row>
    <row r="393" spans="4:6" ht="12.5" x14ac:dyDescent="0.25">
      <c r="D393" s="80"/>
      <c r="E393" s="81"/>
      <c r="F393" s="81"/>
    </row>
    <row r="394" spans="4:6" ht="12.5" x14ac:dyDescent="0.25">
      <c r="D394" s="80"/>
      <c r="E394" s="81"/>
      <c r="F394" s="81"/>
    </row>
    <row r="395" spans="4:6" ht="12.5" x14ac:dyDescent="0.25">
      <c r="D395" s="80"/>
      <c r="E395" s="81"/>
      <c r="F395" s="81"/>
    </row>
    <row r="396" spans="4:6" ht="12.5" x14ac:dyDescent="0.25">
      <c r="D396" s="80"/>
      <c r="E396" s="81"/>
      <c r="F396" s="81"/>
    </row>
    <row r="397" spans="4:6" ht="12.5" x14ac:dyDescent="0.25">
      <c r="D397" s="80"/>
      <c r="E397" s="81"/>
      <c r="F397" s="81"/>
    </row>
    <row r="398" spans="4:6" ht="12.5" x14ac:dyDescent="0.25">
      <c r="D398" s="80"/>
      <c r="E398" s="81"/>
      <c r="F398" s="81"/>
    </row>
    <row r="399" spans="4:6" ht="12.5" x14ac:dyDescent="0.25">
      <c r="D399" s="80"/>
      <c r="E399" s="81"/>
      <c r="F399" s="81"/>
    </row>
    <row r="400" spans="4:6" ht="12.5" x14ac:dyDescent="0.25">
      <c r="D400" s="80"/>
      <c r="E400" s="81"/>
      <c r="F400" s="81"/>
    </row>
    <row r="401" spans="4:6" ht="12.5" x14ac:dyDescent="0.25">
      <c r="D401" s="80"/>
      <c r="E401" s="81"/>
      <c r="F401" s="81"/>
    </row>
    <row r="402" spans="4:6" ht="12.5" x14ac:dyDescent="0.25">
      <c r="D402" s="80"/>
      <c r="E402" s="81"/>
      <c r="F402" s="81"/>
    </row>
    <row r="403" spans="4:6" ht="12.5" x14ac:dyDescent="0.25">
      <c r="D403" s="80"/>
      <c r="E403" s="81"/>
      <c r="F403" s="81"/>
    </row>
    <row r="404" spans="4:6" ht="12.5" x14ac:dyDescent="0.25">
      <c r="D404" s="80"/>
      <c r="E404" s="81"/>
      <c r="F404" s="81"/>
    </row>
    <row r="405" spans="4:6" ht="12.5" x14ac:dyDescent="0.25">
      <c r="D405" s="80"/>
      <c r="E405" s="81"/>
      <c r="F405" s="81"/>
    </row>
    <row r="406" spans="4:6" ht="12.5" x14ac:dyDescent="0.25">
      <c r="D406" s="80"/>
      <c r="E406" s="81"/>
      <c r="F406" s="81"/>
    </row>
    <row r="407" spans="4:6" ht="12.5" x14ac:dyDescent="0.25">
      <c r="D407" s="80"/>
      <c r="E407" s="81"/>
      <c r="F407" s="81"/>
    </row>
    <row r="408" spans="4:6" ht="12.5" x14ac:dyDescent="0.25">
      <c r="D408" s="80"/>
      <c r="E408" s="81"/>
      <c r="F408" s="81"/>
    </row>
    <row r="409" spans="4:6" ht="12.5" x14ac:dyDescent="0.25">
      <c r="D409" s="80"/>
      <c r="E409" s="81"/>
      <c r="F409" s="81"/>
    </row>
    <row r="410" spans="4:6" ht="12.5" x14ac:dyDescent="0.25">
      <c r="D410" s="80"/>
      <c r="E410" s="81"/>
      <c r="F410" s="81"/>
    </row>
    <row r="411" spans="4:6" ht="12.5" x14ac:dyDescent="0.25">
      <c r="D411" s="80"/>
      <c r="E411" s="81"/>
      <c r="F411" s="81"/>
    </row>
    <row r="412" spans="4:6" ht="12.5" x14ac:dyDescent="0.25">
      <c r="D412" s="80"/>
      <c r="E412" s="81"/>
      <c r="F412" s="81"/>
    </row>
    <row r="413" spans="4:6" ht="12.5" x14ac:dyDescent="0.25">
      <c r="D413" s="80"/>
      <c r="E413" s="81"/>
      <c r="F413" s="81"/>
    </row>
    <row r="414" spans="4:6" ht="12.5" x14ac:dyDescent="0.25">
      <c r="D414" s="80"/>
      <c r="E414" s="81"/>
      <c r="F414" s="81"/>
    </row>
    <row r="415" spans="4:6" ht="12.5" x14ac:dyDescent="0.25">
      <c r="D415" s="80"/>
      <c r="E415" s="81"/>
      <c r="F415" s="81"/>
    </row>
    <row r="416" spans="4:6" ht="12.5" x14ac:dyDescent="0.25">
      <c r="D416" s="80"/>
      <c r="E416" s="81"/>
      <c r="F416" s="81"/>
    </row>
    <row r="417" spans="4:6" ht="12.5" x14ac:dyDescent="0.25">
      <c r="D417" s="80"/>
      <c r="E417" s="81"/>
      <c r="F417" s="81"/>
    </row>
    <row r="418" spans="4:6" ht="12.5" x14ac:dyDescent="0.25">
      <c r="D418" s="80"/>
      <c r="E418" s="81"/>
      <c r="F418" s="81"/>
    </row>
    <row r="419" spans="4:6" ht="12.5" x14ac:dyDescent="0.25">
      <c r="D419" s="80"/>
      <c r="E419" s="81"/>
      <c r="F419" s="81"/>
    </row>
    <row r="420" spans="4:6" ht="12.5" x14ac:dyDescent="0.25">
      <c r="D420" s="80"/>
      <c r="E420" s="81"/>
      <c r="F420" s="81"/>
    </row>
    <row r="421" spans="4:6" ht="12.5" x14ac:dyDescent="0.25">
      <c r="D421" s="80"/>
      <c r="E421" s="81"/>
      <c r="F421" s="81"/>
    </row>
    <row r="422" spans="4:6" ht="12.5" x14ac:dyDescent="0.25">
      <c r="D422" s="80"/>
      <c r="E422" s="81"/>
      <c r="F422" s="81"/>
    </row>
    <row r="423" spans="4:6" ht="12.5" x14ac:dyDescent="0.25">
      <c r="D423" s="80"/>
      <c r="E423" s="81"/>
      <c r="F423" s="81"/>
    </row>
    <row r="424" spans="4:6" ht="12.5" x14ac:dyDescent="0.25">
      <c r="D424" s="80"/>
      <c r="E424" s="81"/>
      <c r="F424" s="81"/>
    </row>
    <row r="425" spans="4:6" ht="12.5" x14ac:dyDescent="0.25">
      <c r="D425" s="80"/>
      <c r="E425" s="81"/>
      <c r="F425" s="81"/>
    </row>
    <row r="426" spans="4:6" ht="12.5" x14ac:dyDescent="0.25">
      <c r="D426" s="80"/>
      <c r="E426" s="81"/>
      <c r="F426" s="81"/>
    </row>
    <row r="427" spans="4:6" ht="12.5" x14ac:dyDescent="0.25">
      <c r="D427" s="80"/>
      <c r="E427" s="81"/>
      <c r="F427" s="81"/>
    </row>
    <row r="428" spans="4:6" ht="12.5" x14ac:dyDescent="0.25">
      <c r="D428" s="80"/>
      <c r="E428" s="81"/>
      <c r="F428" s="81"/>
    </row>
    <row r="429" spans="4:6" ht="12.5" x14ac:dyDescent="0.25">
      <c r="D429" s="80"/>
      <c r="E429" s="81"/>
      <c r="F429" s="81"/>
    </row>
    <row r="430" spans="4:6" ht="12.5" x14ac:dyDescent="0.25">
      <c r="D430" s="80"/>
      <c r="E430" s="81"/>
      <c r="F430" s="81"/>
    </row>
    <row r="431" spans="4:6" ht="12.5" x14ac:dyDescent="0.25">
      <c r="D431" s="80"/>
      <c r="E431" s="81"/>
      <c r="F431" s="81"/>
    </row>
    <row r="432" spans="4:6" ht="12.5" x14ac:dyDescent="0.25">
      <c r="D432" s="80"/>
      <c r="E432" s="81"/>
      <c r="F432" s="81"/>
    </row>
    <row r="433" spans="4:6" ht="12.5" x14ac:dyDescent="0.25">
      <c r="D433" s="80"/>
      <c r="E433" s="81"/>
      <c r="F433" s="81"/>
    </row>
    <row r="434" spans="4:6" ht="12.5" x14ac:dyDescent="0.25">
      <c r="D434" s="80"/>
      <c r="E434" s="81"/>
      <c r="F434" s="81"/>
    </row>
    <row r="435" spans="4:6" ht="12.5" x14ac:dyDescent="0.25">
      <c r="D435" s="80"/>
      <c r="E435" s="81"/>
      <c r="F435" s="81"/>
    </row>
    <row r="436" spans="4:6" ht="12.5" x14ac:dyDescent="0.25">
      <c r="D436" s="80"/>
      <c r="E436" s="81"/>
      <c r="F436" s="81"/>
    </row>
    <row r="437" spans="4:6" ht="12.5" x14ac:dyDescent="0.25">
      <c r="D437" s="80"/>
      <c r="E437" s="81"/>
      <c r="F437" s="81"/>
    </row>
    <row r="438" spans="4:6" ht="12.5" x14ac:dyDescent="0.25">
      <c r="D438" s="80"/>
      <c r="E438" s="81"/>
      <c r="F438" s="81"/>
    </row>
    <row r="439" spans="4:6" ht="12.5" x14ac:dyDescent="0.25">
      <c r="D439" s="80"/>
      <c r="E439" s="81"/>
      <c r="F439" s="81"/>
    </row>
    <row r="440" spans="4:6" ht="12.5" x14ac:dyDescent="0.25">
      <c r="D440" s="80"/>
      <c r="E440" s="81"/>
      <c r="F440" s="81"/>
    </row>
    <row r="441" spans="4:6" ht="12.5" x14ac:dyDescent="0.25">
      <c r="D441" s="80"/>
      <c r="E441" s="81"/>
      <c r="F441" s="81"/>
    </row>
    <row r="442" spans="4:6" ht="12.5" x14ac:dyDescent="0.25">
      <c r="D442" s="80"/>
      <c r="E442" s="81"/>
      <c r="F442" s="81"/>
    </row>
    <row r="443" spans="4:6" ht="12.5" x14ac:dyDescent="0.25">
      <c r="D443" s="80"/>
      <c r="E443" s="81"/>
      <c r="F443" s="81"/>
    </row>
    <row r="444" spans="4:6" ht="12.5" x14ac:dyDescent="0.25">
      <c r="D444" s="80"/>
      <c r="E444" s="81"/>
      <c r="F444" s="81"/>
    </row>
    <row r="445" spans="4:6" ht="12.5" x14ac:dyDescent="0.25">
      <c r="D445" s="80"/>
      <c r="E445" s="81"/>
      <c r="F445" s="81"/>
    </row>
    <row r="446" spans="4:6" ht="12.5" x14ac:dyDescent="0.25">
      <c r="D446" s="80"/>
      <c r="E446" s="81"/>
      <c r="F446" s="81"/>
    </row>
    <row r="447" spans="4:6" ht="12.5" x14ac:dyDescent="0.25">
      <c r="D447" s="80"/>
      <c r="E447" s="81"/>
      <c r="F447" s="81"/>
    </row>
    <row r="448" spans="4:6" ht="12.5" x14ac:dyDescent="0.25">
      <c r="D448" s="80"/>
      <c r="E448" s="81"/>
      <c r="F448" s="81"/>
    </row>
    <row r="449" spans="4:6" ht="12.5" x14ac:dyDescent="0.25">
      <c r="D449" s="80"/>
      <c r="E449" s="81"/>
      <c r="F449" s="81"/>
    </row>
    <row r="450" spans="4:6" ht="12.5" x14ac:dyDescent="0.25">
      <c r="D450" s="80"/>
      <c r="E450" s="81"/>
      <c r="F450" s="81"/>
    </row>
    <row r="451" spans="4:6" ht="12.5" x14ac:dyDescent="0.25">
      <c r="D451" s="80"/>
      <c r="E451" s="81"/>
      <c r="F451" s="81"/>
    </row>
    <row r="452" spans="4:6" ht="12.5" x14ac:dyDescent="0.25">
      <c r="D452" s="80"/>
      <c r="E452" s="81"/>
      <c r="F452" s="81"/>
    </row>
    <row r="453" spans="4:6" ht="12.5" x14ac:dyDescent="0.25">
      <c r="D453" s="80"/>
      <c r="E453" s="81"/>
      <c r="F453" s="81"/>
    </row>
    <row r="454" spans="4:6" ht="12.5" x14ac:dyDescent="0.25">
      <c r="D454" s="80"/>
      <c r="E454" s="81"/>
      <c r="F454" s="81"/>
    </row>
    <row r="455" spans="4:6" ht="12.5" x14ac:dyDescent="0.25">
      <c r="D455" s="80"/>
      <c r="E455" s="81"/>
      <c r="F455" s="81"/>
    </row>
    <row r="456" spans="4:6" ht="12.5" x14ac:dyDescent="0.25">
      <c r="D456" s="80"/>
      <c r="E456" s="81"/>
      <c r="F456" s="81"/>
    </row>
    <row r="457" spans="4:6" ht="12.5" x14ac:dyDescent="0.25">
      <c r="D457" s="80"/>
      <c r="E457" s="81"/>
      <c r="F457" s="81"/>
    </row>
    <row r="458" spans="4:6" ht="12.5" x14ac:dyDescent="0.25">
      <c r="D458" s="80"/>
      <c r="E458" s="81"/>
      <c r="F458" s="81"/>
    </row>
    <row r="459" spans="4:6" ht="12.5" x14ac:dyDescent="0.25">
      <c r="D459" s="80"/>
      <c r="E459" s="81"/>
      <c r="F459" s="81"/>
    </row>
    <row r="460" spans="4:6" ht="12.5" x14ac:dyDescent="0.25">
      <c r="D460" s="80"/>
      <c r="E460" s="81"/>
      <c r="F460" s="81"/>
    </row>
    <row r="461" spans="4:6" ht="12.5" x14ac:dyDescent="0.25">
      <c r="D461" s="80"/>
      <c r="E461" s="81"/>
      <c r="F461" s="81"/>
    </row>
    <row r="462" spans="4:6" ht="12.5" x14ac:dyDescent="0.25">
      <c r="D462" s="80"/>
      <c r="E462" s="81"/>
      <c r="F462" s="81"/>
    </row>
    <row r="463" spans="4:6" ht="12.5" x14ac:dyDescent="0.25">
      <c r="D463" s="80"/>
      <c r="E463" s="81"/>
      <c r="F463" s="81"/>
    </row>
    <row r="464" spans="4:6" ht="12.5" x14ac:dyDescent="0.25">
      <c r="D464" s="80"/>
      <c r="E464" s="81"/>
      <c r="F464" s="81"/>
    </row>
    <row r="465" spans="4:6" ht="12.5" x14ac:dyDescent="0.25">
      <c r="D465" s="80"/>
      <c r="E465" s="81"/>
      <c r="F465" s="81"/>
    </row>
    <row r="466" spans="4:6" ht="12.5" x14ac:dyDescent="0.25">
      <c r="D466" s="80"/>
      <c r="E466" s="81"/>
      <c r="F466" s="81"/>
    </row>
    <row r="467" spans="4:6" ht="12.5" x14ac:dyDescent="0.25">
      <c r="D467" s="80"/>
      <c r="E467" s="81"/>
      <c r="F467" s="81"/>
    </row>
    <row r="468" spans="4:6" ht="12.5" x14ac:dyDescent="0.25">
      <c r="D468" s="80"/>
      <c r="E468" s="81"/>
      <c r="F468" s="81"/>
    </row>
    <row r="469" spans="4:6" ht="12.5" x14ac:dyDescent="0.25">
      <c r="D469" s="80"/>
      <c r="E469" s="81"/>
      <c r="F469" s="81"/>
    </row>
    <row r="470" spans="4:6" ht="12.5" x14ac:dyDescent="0.25">
      <c r="D470" s="80"/>
      <c r="E470" s="81"/>
      <c r="F470" s="81"/>
    </row>
    <row r="471" spans="4:6" ht="12.5" x14ac:dyDescent="0.25">
      <c r="D471" s="80"/>
      <c r="E471" s="81"/>
      <c r="F471" s="81"/>
    </row>
    <row r="472" spans="4:6" ht="12.5" x14ac:dyDescent="0.25">
      <c r="D472" s="80"/>
      <c r="E472" s="81"/>
      <c r="F472" s="81"/>
    </row>
    <row r="473" spans="4:6" ht="12.5" x14ac:dyDescent="0.25">
      <c r="D473" s="80"/>
      <c r="E473" s="81"/>
      <c r="F473" s="81"/>
    </row>
    <row r="474" spans="4:6" ht="12.5" x14ac:dyDescent="0.25">
      <c r="D474" s="80"/>
      <c r="E474" s="81"/>
      <c r="F474" s="81"/>
    </row>
    <row r="475" spans="4:6" ht="12.5" x14ac:dyDescent="0.25">
      <c r="D475" s="80"/>
      <c r="E475" s="81"/>
      <c r="F475" s="81"/>
    </row>
    <row r="476" spans="4:6" ht="12.5" x14ac:dyDescent="0.25">
      <c r="D476" s="80"/>
      <c r="E476" s="81"/>
      <c r="F476" s="81"/>
    </row>
    <row r="477" spans="4:6" ht="12.5" x14ac:dyDescent="0.25">
      <c r="D477" s="80"/>
      <c r="E477" s="81"/>
      <c r="F477" s="81"/>
    </row>
    <row r="478" spans="4:6" ht="12.5" x14ac:dyDescent="0.25">
      <c r="D478" s="80"/>
      <c r="E478" s="81"/>
      <c r="F478" s="81"/>
    </row>
    <row r="479" spans="4:6" ht="12.5" x14ac:dyDescent="0.25">
      <c r="D479" s="80"/>
      <c r="E479" s="81"/>
      <c r="F479" s="81"/>
    </row>
    <row r="480" spans="4:6" ht="12.5" x14ac:dyDescent="0.25">
      <c r="D480" s="80"/>
      <c r="E480" s="81"/>
      <c r="F480" s="81"/>
    </row>
    <row r="481" spans="4:6" ht="12.5" x14ac:dyDescent="0.25">
      <c r="D481" s="80"/>
      <c r="E481" s="81"/>
      <c r="F481" s="81"/>
    </row>
    <row r="482" spans="4:6" ht="12.5" x14ac:dyDescent="0.25">
      <c r="D482" s="80"/>
      <c r="E482" s="81"/>
      <c r="F482" s="81"/>
    </row>
    <row r="483" spans="4:6" ht="12.5" x14ac:dyDescent="0.25">
      <c r="D483" s="80"/>
      <c r="E483" s="81"/>
      <c r="F483" s="81"/>
    </row>
    <row r="484" spans="4:6" ht="12.5" x14ac:dyDescent="0.25">
      <c r="D484" s="80"/>
      <c r="E484" s="81"/>
      <c r="F484" s="81"/>
    </row>
    <row r="485" spans="4:6" ht="12.5" x14ac:dyDescent="0.25">
      <c r="D485" s="80"/>
      <c r="E485" s="81"/>
      <c r="F485" s="81"/>
    </row>
    <row r="486" spans="4:6" ht="12.5" x14ac:dyDescent="0.25">
      <c r="D486" s="80"/>
      <c r="E486" s="81"/>
      <c r="F486" s="81"/>
    </row>
    <row r="487" spans="4:6" ht="12.5" x14ac:dyDescent="0.25">
      <c r="D487" s="80"/>
      <c r="E487" s="81"/>
      <c r="F487" s="81"/>
    </row>
    <row r="488" spans="4:6" ht="12.5" x14ac:dyDescent="0.25">
      <c r="D488" s="80"/>
      <c r="E488" s="81"/>
      <c r="F488" s="81"/>
    </row>
    <row r="489" spans="4:6" ht="12.5" x14ac:dyDescent="0.25">
      <c r="D489" s="80"/>
      <c r="E489" s="81"/>
      <c r="F489" s="81"/>
    </row>
    <row r="490" spans="4:6" ht="12.5" x14ac:dyDescent="0.25">
      <c r="D490" s="80"/>
      <c r="E490" s="81"/>
      <c r="F490" s="81"/>
    </row>
    <row r="491" spans="4:6" ht="12.5" x14ac:dyDescent="0.25">
      <c r="D491" s="80"/>
      <c r="E491" s="81"/>
      <c r="F491" s="81"/>
    </row>
    <row r="492" spans="4:6" ht="12.5" x14ac:dyDescent="0.25">
      <c r="D492" s="80"/>
      <c r="E492" s="81"/>
      <c r="F492" s="81"/>
    </row>
    <row r="493" spans="4:6" ht="12.5" x14ac:dyDescent="0.25">
      <c r="D493" s="80"/>
      <c r="E493" s="81"/>
      <c r="F493" s="81"/>
    </row>
    <row r="494" spans="4:6" ht="12.5" x14ac:dyDescent="0.25">
      <c r="D494" s="80"/>
      <c r="E494" s="81"/>
      <c r="F494" s="81"/>
    </row>
    <row r="495" spans="4:6" ht="12.5" x14ac:dyDescent="0.25">
      <c r="D495" s="80"/>
      <c r="E495" s="81"/>
      <c r="F495" s="81"/>
    </row>
    <row r="496" spans="4:6" ht="12.5" x14ac:dyDescent="0.25">
      <c r="D496" s="80"/>
      <c r="E496" s="81"/>
      <c r="F496" s="81"/>
    </row>
    <row r="497" spans="4:6" ht="12.5" x14ac:dyDescent="0.25">
      <c r="D497" s="80"/>
      <c r="E497" s="81"/>
      <c r="F497" s="81"/>
    </row>
    <row r="498" spans="4:6" ht="12.5" x14ac:dyDescent="0.25">
      <c r="D498" s="80"/>
      <c r="E498" s="81"/>
      <c r="F498" s="81"/>
    </row>
    <row r="499" spans="4:6" ht="12.5" x14ac:dyDescent="0.25">
      <c r="D499" s="80"/>
      <c r="E499" s="81"/>
      <c r="F499" s="81"/>
    </row>
    <row r="500" spans="4:6" ht="12.5" x14ac:dyDescent="0.25">
      <c r="D500" s="80"/>
      <c r="E500" s="81"/>
      <c r="F500" s="81"/>
    </row>
    <row r="501" spans="4:6" ht="12.5" x14ac:dyDescent="0.25">
      <c r="D501" s="80"/>
      <c r="E501" s="81"/>
      <c r="F501" s="81"/>
    </row>
    <row r="502" spans="4:6" ht="12.5" x14ac:dyDescent="0.25">
      <c r="D502" s="80"/>
      <c r="E502" s="81"/>
      <c r="F502" s="81"/>
    </row>
    <row r="503" spans="4:6" ht="12.5" x14ac:dyDescent="0.25">
      <c r="D503" s="80"/>
      <c r="E503" s="81"/>
      <c r="F503" s="81"/>
    </row>
    <row r="504" spans="4:6" ht="12.5" x14ac:dyDescent="0.25">
      <c r="D504" s="80"/>
      <c r="E504" s="81"/>
      <c r="F504" s="81"/>
    </row>
    <row r="505" spans="4:6" ht="12.5" x14ac:dyDescent="0.25">
      <c r="D505" s="80"/>
      <c r="E505" s="81"/>
      <c r="F505" s="81"/>
    </row>
    <row r="506" spans="4:6" ht="12.5" x14ac:dyDescent="0.25">
      <c r="D506" s="80"/>
      <c r="E506" s="81"/>
      <c r="F506" s="81"/>
    </row>
    <row r="507" spans="4:6" ht="12.5" x14ac:dyDescent="0.25">
      <c r="D507" s="80"/>
      <c r="E507" s="81"/>
      <c r="F507" s="81"/>
    </row>
    <row r="508" spans="4:6" ht="12.5" x14ac:dyDescent="0.25">
      <c r="D508" s="80"/>
      <c r="E508" s="81"/>
      <c r="F508" s="81"/>
    </row>
    <row r="509" spans="4:6" ht="12.5" x14ac:dyDescent="0.25">
      <c r="D509" s="80"/>
      <c r="E509" s="81"/>
      <c r="F509" s="81"/>
    </row>
    <row r="510" spans="4:6" ht="12.5" x14ac:dyDescent="0.25">
      <c r="D510" s="80"/>
      <c r="E510" s="81"/>
      <c r="F510" s="81"/>
    </row>
    <row r="511" spans="4:6" ht="12.5" x14ac:dyDescent="0.25">
      <c r="D511" s="80"/>
      <c r="E511" s="81"/>
      <c r="F511" s="81"/>
    </row>
    <row r="512" spans="4:6" ht="12.5" x14ac:dyDescent="0.25">
      <c r="D512" s="80"/>
      <c r="E512" s="81"/>
      <c r="F512" s="81"/>
    </row>
    <row r="513" spans="4:6" ht="12.5" x14ac:dyDescent="0.25">
      <c r="D513" s="80"/>
      <c r="E513" s="81"/>
      <c r="F513" s="81"/>
    </row>
    <row r="514" spans="4:6" ht="12.5" x14ac:dyDescent="0.25">
      <c r="D514" s="80"/>
      <c r="E514" s="81"/>
      <c r="F514" s="81"/>
    </row>
    <row r="515" spans="4:6" ht="12.5" x14ac:dyDescent="0.25">
      <c r="D515" s="80"/>
      <c r="E515" s="81"/>
      <c r="F515" s="81"/>
    </row>
    <row r="516" spans="4:6" ht="12.5" x14ac:dyDescent="0.25">
      <c r="D516" s="80"/>
      <c r="E516" s="81"/>
      <c r="F516" s="81"/>
    </row>
    <row r="517" spans="4:6" ht="12.5" x14ac:dyDescent="0.25">
      <c r="D517" s="80"/>
      <c r="E517" s="81"/>
      <c r="F517" s="81"/>
    </row>
    <row r="518" spans="4:6" ht="12.5" x14ac:dyDescent="0.25">
      <c r="D518" s="80"/>
      <c r="E518" s="81"/>
      <c r="F518" s="81"/>
    </row>
    <row r="519" spans="4:6" ht="12.5" x14ac:dyDescent="0.25">
      <c r="D519" s="80"/>
      <c r="E519" s="81"/>
      <c r="F519" s="81"/>
    </row>
    <row r="520" spans="4:6" ht="12.5" x14ac:dyDescent="0.25">
      <c r="D520" s="80"/>
      <c r="E520" s="81"/>
      <c r="F520" s="81"/>
    </row>
    <row r="521" spans="4:6" ht="12.5" x14ac:dyDescent="0.25">
      <c r="D521" s="80"/>
      <c r="E521" s="81"/>
      <c r="F521" s="81"/>
    </row>
    <row r="522" spans="4:6" ht="12.5" x14ac:dyDescent="0.25">
      <c r="D522" s="80"/>
      <c r="E522" s="81"/>
      <c r="F522" s="81"/>
    </row>
    <row r="523" spans="4:6" ht="12.5" x14ac:dyDescent="0.25">
      <c r="D523" s="80"/>
      <c r="E523" s="81"/>
      <c r="F523" s="81"/>
    </row>
    <row r="524" spans="4:6" ht="12.5" x14ac:dyDescent="0.25">
      <c r="D524" s="80"/>
      <c r="E524" s="81"/>
      <c r="F524" s="81"/>
    </row>
    <row r="525" spans="4:6" ht="12.5" x14ac:dyDescent="0.25">
      <c r="D525" s="80"/>
      <c r="E525" s="81"/>
      <c r="F525" s="81"/>
    </row>
    <row r="526" spans="4:6" ht="12.5" x14ac:dyDescent="0.25">
      <c r="D526" s="80"/>
      <c r="E526" s="81"/>
      <c r="F526" s="81"/>
    </row>
    <row r="527" spans="4:6" ht="12.5" x14ac:dyDescent="0.25">
      <c r="D527" s="80"/>
      <c r="E527" s="81"/>
      <c r="F527" s="81"/>
    </row>
    <row r="528" spans="4:6" ht="12.5" x14ac:dyDescent="0.25">
      <c r="D528" s="80"/>
      <c r="E528" s="81"/>
      <c r="F528" s="81"/>
    </row>
    <row r="529" spans="4:6" ht="12.5" x14ac:dyDescent="0.25">
      <c r="D529" s="80"/>
      <c r="E529" s="81"/>
      <c r="F529" s="81"/>
    </row>
    <row r="530" spans="4:6" ht="12.5" x14ac:dyDescent="0.25">
      <c r="D530" s="80"/>
      <c r="E530" s="81"/>
      <c r="F530" s="81"/>
    </row>
    <row r="531" spans="4:6" ht="12.5" x14ac:dyDescent="0.25">
      <c r="D531" s="80"/>
      <c r="E531" s="81"/>
      <c r="F531" s="81"/>
    </row>
    <row r="532" spans="4:6" ht="12.5" x14ac:dyDescent="0.25">
      <c r="D532" s="80"/>
      <c r="E532" s="81"/>
      <c r="F532" s="81"/>
    </row>
    <row r="533" spans="4:6" ht="12.5" x14ac:dyDescent="0.25">
      <c r="D533" s="80"/>
      <c r="E533" s="81"/>
      <c r="F533" s="81"/>
    </row>
    <row r="534" spans="4:6" ht="12.5" x14ac:dyDescent="0.25">
      <c r="D534" s="80"/>
      <c r="E534" s="81"/>
      <c r="F534" s="81"/>
    </row>
    <row r="535" spans="4:6" ht="12.5" x14ac:dyDescent="0.25">
      <c r="D535" s="80"/>
      <c r="E535" s="81"/>
      <c r="F535" s="81"/>
    </row>
    <row r="536" spans="4:6" ht="12.5" x14ac:dyDescent="0.25">
      <c r="D536" s="80"/>
      <c r="E536" s="81"/>
      <c r="F536" s="81"/>
    </row>
    <row r="537" spans="4:6" ht="12.5" x14ac:dyDescent="0.25">
      <c r="D537" s="80"/>
      <c r="E537" s="81"/>
      <c r="F537" s="81"/>
    </row>
    <row r="538" spans="4:6" ht="12.5" x14ac:dyDescent="0.25">
      <c r="D538" s="80"/>
      <c r="E538" s="81"/>
      <c r="F538" s="81"/>
    </row>
    <row r="539" spans="4:6" ht="12.5" x14ac:dyDescent="0.25">
      <c r="D539" s="80"/>
      <c r="E539" s="81"/>
      <c r="F539" s="81"/>
    </row>
    <row r="540" spans="4:6" ht="12.5" x14ac:dyDescent="0.25">
      <c r="D540" s="80"/>
      <c r="E540" s="81"/>
      <c r="F540" s="81"/>
    </row>
    <row r="541" spans="4:6" ht="12.5" x14ac:dyDescent="0.25">
      <c r="D541" s="80"/>
      <c r="E541" s="81"/>
      <c r="F541" s="81"/>
    </row>
    <row r="542" spans="4:6" ht="12.5" x14ac:dyDescent="0.25">
      <c r="D542" s="80"/>
      <c r="E542" s="81"/>
      <c r="F542" s="81"/>
    </row>
    <row r="543" spans="4:6" ht="12.5" x14ac:dyDescent="0.25">
      <c r="D543" s="80"/>
      <c r="E543" s="81"/>
      <c r="F543" s="81"/>
    </row>
    <row r="544" spans="4:6" ht="12.5" x14ac:dyDescent="0.25">
      <c r="D544" s="80"/>
      <c r="E544" s="81"/>
      <c r="F544" s="81"/>
    </row>
    <row r="545" spans="4:6" ht="12.5" x14ac:dyDescent="0.25">
      <c r="D545" s="80"/>
      <c r="E545" s="81"/>
      <c r="F545" s="81"/>
    </row>
    <row r="546" spans="4:6" ht="12.5" x14ac:dyDescent="0.25">
      <c r="D546" s="80"/>
      <c r="E546" s="81"/>
      <c r="F546" s="81"/>
    </row>
    <row r="547" spans="4:6" ht="12.5" x14ac:dyDescent="0.25">
      <c r="D547" s="80"/>
      <c r="E547" s="81"/>
      <c r="F547" s="81"/>
    </row>
    <row r="548" spans="4:6" ht="12.5" x14ac:dyDescent="0.25">
      <c r="D548" s="80"/>
      <c r="E548" s="81"/>
      <c r="F548" s="81"/>
    </row>
    <row r="549" spans="4:6" ht="12.5" x14ac:dyDescent="0.25">
      <c r="D549" s="80"/>
      <c r="E549" s="81"/>
      <c r="F549" s="81"/>
    </row>
    <row r="550" spans="4:6" ht="12.5" x14ac:dyDescent="0.25">
      <c r="D550" s="80"/>
      <c r="E550" s="81"/>
      <c r="F550" s="81"/>
    </row>
    <row r="551" spans="4:6" ht="12.5" x14ac:dyDescent="0.25">
      <c r="D551" s="80"/>
      <c r="E551" s="81"/>
      <c r="F551" s="81"/>
    </row>
    <row r="552" spans="4:6" ht="12.5" x14ac:dyDescent="0.25">
      <c r="D552" s="80"/>
      <c r="E552" s="81"/>
      <c r="F552" s="81"/>
    </row>
    <row r="553" spans="4:6" ht="12.5" x14ac:dyDescent="0.25">
      <c r="D553" s="80"/>
      <c r="E553" s="81"/>
      <c r="F553" s="81"/>
    </row>
    <row r="554" spans="4:6" ht="12.5" x14ac:dyDescent="0.25">
      <c r="D554" s="80"/>
      <c r="E554" s="81"/>
      <c r="F554" s="81"/>
    </row>
    <row r="555" spans="4:6" ht="12.5" x14ac:dyDescent="0.25">
      <c r="D555" s="80"/>
      <c r="E555" s="81"/>
      <c r="F555" s="81"/>
    </row>
    <row r="556" spans="4:6" ht="12.5" x14ac:dyDescent="0.25">
      <c r="D556" s="80"/>
      <c r="E556" s="81"/>
      <c r="F556" s="81"/>
    </row>
    <row r="557" spans="4:6" ht="12.5" x14ac:dyDescent="0.25">
      <c r="D557" s="80"/>
      <c r="E557" s="81"/>
      <c r="F557" s="81"/>
    </row>
    <row r="558" spans="4:6" ht="12.5" x14ac:dyDescent="0.25">
      <c r="D558" s="80"/>
      <c r="E558" s="81"/>
      <c r="F558" s="81"/>
    </row>
    <row r="559" spans="4:6" ht="12.5" x14ac:dyDescent="0.25">
      <c r="D559" s="80"/>
      <c r="E559" s="81"/>
      <c r="F559" s="81"/>
    </row>
    <row r="560" spans="4:6" ht="12.5" x14ac:dyDescent="0.25">
      <c r="D560" s="80"/>
      <c r="E560" s="81"/>
      <c r="F560" s="81"/>
    </row>
    <row r="561" spans="4:6" ht="12.5" x14ac:dyDescent="0.25">
      <c r="D561" s="80"/>
      <c r="E561" s="81"/>
      <c r="F561" s="81"/>
    </row>
    <row r="562" spans="4:6" ht="12.5" x14ac:dyDescent="0.25">
      <c r="D562" s="80"/>
      <c r="E562" s="81"/>
      <c r="F562" s="81"/>
    </row>
    <row r="563" spans="4:6" ht="12.5" x14ac:dyDescent="0.25">
      <c r="D563" s="80"/>
      <c r="E563" s="81"/>
      <c r="F563" s="81"/>
    </row>
    <row r="564" spans="4:6" ht="12.5" x14ac:dyDescent="0.25">
      <c r="D564" s="80"/>
      <c r="E564" s="81"/>
      <c r="F564" s="81"/>
    </row>
    <row r="565" spans="4:6" ht="12.5" x14ac:dyDescent="0.25">
      <c r="D565" s="80"/>
      <c r="E565" s="81"/>
      <c r="F565" s="81"/>
    </row>
    <row r="566" spans="4:6" ht="12.5" x14ac:dyDescent="0.25">
      <c r="D566" s="80"/>
      <c r="E566" s="81"/>
      <c r="F566" s="81"/>
    </row>
    <row r="567" spans="4:6" ht="12.5" x14ac:dyDescent="0.25">
      <c r="D567" s="80"/>
      <c r="E567" s="81"/>
      <c r="F567" s="81"/>
    </row>
    <row r="568" spans="4:6" ht="12.5" x14ac:dyDescent="0.25">
      <c r="D568" s="80"/>
      <c r="E568" s="81"/>
      <c r="F568" s="81"/>
    </row>
    <row r="569" spans="4:6" ht="12.5" x14ac:dyDescent="0.25">
      <c r="D569" s="80"/>
      <c r="E569" s="81"/>
      <c r="F569" s="81"/>
    </row>
    <row r="570" spans="4:6" ht="12.5" x14ac:dyDescent="0.25">
      <c r="D570" s="80"/>
      <c r="E570" s="81"/>
      <c r="F570" s="81"/>
    </row>
    <row r="571" spans="4:6" ht="12.5" x14ac:dyDescent="0.25">
      <c r="D571" s="80"/>
      <c r="E571" s="81"/>
      <c r="F571" s="81"/>
    </row>
    <row r="572" spans="4:6" ht="12.5" x14ac:dyDescent="0.25">
      <c r="D572" s="80"/>
      <c r="E572" s="81"/>
      <c r="F572" s="81"/>
    </row>
    <row r="573" spans="4:6" ht="12.5" x14ac:dyDescent="0.25">
      <c r="D573" s="80"/>
      <c r="E573" s="81"/>
      <c r="F573" s="81"/>
    </row>
    <row r="574" spans="4:6" ht="12.5" x14ac:dyDescent="0.25">
      <c r="D574" s="80"/>
      <c r="E574" s="81"/>
      <c r="F574" s="81"/>
    </row>
    <row r="575" spans="4:6" ht="12.5" x14ac:dyDescent="0.25">
      <c r="D575" s="80"/>
      <c r="E575" s="81"/>
      <c r="F575" s="81"/>
    </row>
    <row r="576" spans="4:6" ht="12.5" x14ac:dyDescent="0.25">
      <c r="D576" s="80"/>
      <c r="E576" s="81"/>
      <c r="F576" s="81"/>
    </row>
    <row r="577" spans="4:6" ht="12.5" x14ac:dyDescent="0.25">
      <c r="D577" s="80"/>
      <c r="E577" s="81"/>
      <c r="F577" s="81"/>
    </row>
    <row r="578" spans="4:6" ht="12.5" x14ac:dyDescent="0.25">
      <c r="D578" s="80"/>
      <c r="E578" s="81"/>
      <c r="F578" s="81"/>
    </row>
    <row r="579" spans="4:6" ht="12.5" x14ac:dyDescent="0.25">
      <c r="D579" s="80"/>
      <c r="E579" s="81"/>
      <c r="F579" s="81"/>
    </row>
    <row r="580" spans="4:6" ht="12.5" x14ac:dyDescent="0.25">
      <c r="D580" s="80"/>
      <c r="E580" s="81"/>
      <c r="F580" s="81"/>
    </row>
    <row r="581" spans="4:6" ht="12.5" x14ac:dyDescent="0.25">
      <c r="D581" s="80"/>
      <c r="E581" s="81"/>
      <c r="F581" s="81"/>
    </row>
    <row r="582" spans="4:6" ht="12.5" x14ac:dyDescent="0.25">
      <c r="D582" s="80"/>
      <c r="E582" s="81"/>
      <c r="F582" s="81"/>
    </row>
    <row r="583" spans="4:6" ht="12.5" x14ac:dyDescent="0.25">
      <c r="D583" s="80"/>
      <c r="E583" s="81"/>
      <c r="F583" s="81"/>
    </row>
    <row r="584" spans="4:6" ht="12.5" x14ac:dyDescent="0.25">
      <c r="D584" s="80"/>
      <c r="E584" s="81"/>
      <c r="F584" s="81"/>
    </row>
    <row r="585" spans="4:6" ht="12.5" x14ac:dyDescent="0.25">
      <c r="D585" s="80"/>
      <c r="E585" s="81"/>
      <c r="F585" s="81"/>
    </row>
    <row r="586" spans="4:6" ht="12.5" x14ac:dyDescent="0.25">
      <c r="D586" s="80"/>
      <c r="E586" s="81"/>
      <c r="F586" s="81"/>
    </row>
    <row r="587" spans="4:6" ht="12.5" x14ac:dyDescent="0.25">
      <c r="D587" s="80"/>
      <c r="E587" s="81"/>
      <c r="F587" s="81"/>
    </row>
    <row r="588" spans="4:6" ht="12.5" x14ac:dyDescent="0.25">
      <c r="D588" s="80"/>
      <c r="E588" s="81"/>
      <c r="F588" s="81"/>
    </row>
    <row r="589" spans="4:6" ht="12.5" x14ac:dyDescent="0.25">
      <c r="D589" s="80"/>
      <c r="E589" s="81"/>
      <c r="F589" s="81"/>
    </row>
    <row r="590" spans="4:6" ht="12.5" x14ac:dyDescent="0.25">
      <c r="D590" s="80"/>
      <c r="E590" s="81"/>
      <c r="F590" s="81"/>
    </row>
    <row r="591" spans="4:6" ht="12.5" x14ac:dyDescent="0.25">
      <c r="D591" s="80"/>
      <c r="E591" s="81"/>
      <c r="F591" s="81"/>
    </row>
    <row r="592" spans="4:6" ht="12.5" x14ac:dyDescent="0.25">
      <c r="D592" s="80"/>
      <c r="E592" s="81"/>
      <c r="F592" s="81"/>
    </row>
    <row r="593" spans="4:6" ht="12.5" x14ac:dyDescent="0.25">
      <c r="D593" s="80"/>
      <c r="E593" s="81"/>
      <c r="F593" s="81"/>
    </row>
    <row r="594" spans="4:6" ht="12.5" x14ac:dyDescent="0.25">
      <c r="D594" s="80"/>
      <c r="E594" s="81"/>
      <c r="F594" s="81"/>
    </row>
    <row r="595" spans="4:6" ht="12.5" x14ac:dyDescent="0.25">
      <c r="D595" s="80"/>
      <c r="E595" s="81"/>
      <c r="F595" s="81"/>
    </row>
    <row r="596" spans="4:6" ht="12.5" x14ac:dyDescent="0.25">
      <c r="D596" s="80"/>
      <c r="E596" s="81"/>
      <c r="F596" s="81"/>
    </row>
    <row r="597" spans="4:6" ht="12.5" x14ac:dyDescent="0.25">
      <c r="D597" s="80"/>
      <c r="E597" s="81"/>
      <c r="F597" s="81"/>
    </row>
    <row r="598" spans="4:6" ht="12.5" x14ac:dyDescent="0.25">
      <c r="D598" s="80"/>
      <c r="E598" s="81"/>
      <c r="F598" s="81"/>
    </row>
    <row r="599" spans="4:6" ht="12.5" x14ac:dyDescent="0.25">
      <c r="D599" s="80"/>
      <c r="E599" s="81"/>
      <c r="F599" s="81"/>
    </row>
    <row r="600" spans="4:6" ht="12.5" x14ac:dyDescent="0.25">
      <c r="D600" s="80"/>
      <c r="E600" s="81"/>
      <c r="F600" s="81"/>
    </row>
    <row r="601" spans="4:6" ht="12.5" x14ac:dyDescent="0.25">
      <c r="D601" s="80"/>
      <c r="E601" s="81"/>
      <c r="F601" s="81"/>
    </row>
    <row r="602" spans="4:6" ht="12.5" x14ac:dyDescent="0.25">
      <c r="D602" s="80"/>
      <c r="E602" s="81"/>
      <c r="F602" s="81"/>
    </row>
    <row r="603" spans="4:6" ht="12.5" x14ac:dyDescent="0.25">
      <c r="D603" s="80"/>
      <c r="E603" s="81"/>
      <c r="F603" s="81"/>
    </row>
    <row r="604" spans="4:6" ht="12.5" x14ac:dyDescent="0.25">
      <c r="D604" s="80"/>
      <c r="E604" s="81"/>
      <c r="F604" s="81"/>
    </row>
    <row r="605" spans="4:6" ht="12.5" x14ac:dyDescent="0.25">
      <c r="D605" s="80"/>
      <c r="E605" s="81"/>
      <c r="F605" s="81"/>
    </row>
    <row r="606" spans="4:6" ht="12.5" x14ac:dyDescent="0.25">
      <c r="D606" s="80"/>
      <c r="E606" s="81"/>
      <c r="F606" s="81"/>
    </row>
    <row r="607" spans="4:6" ht="12.5" x14ac:dyDescent="0.25">
      <c r="D607" s="80"/>
      <c r="E607" s="81"/>
      <c r="F607" s="81"/>
    </row>
    <row r="608" spans="4:6" ht="12.5" x14ac:dyDescent="0.25">
      <c r="D608" s="80"/>
      <c r="E608" s="81"/>
      <c r="F608" s="81"/>
    </row>
    <row r="609" spans="4:6" ht="12.5" x14ac:dyDescent="0.25">
      <c r="D609" s="80"/>
      <c r="E609" s="81"/>
      <c r="F609" s="81"/>
    </row>
    <row r="610" spans="4:6" ht="12.5" x14ac:dyDescent="0.25">
      <c r="D610" s="80"/>
      <c r="E610" s="81"/>
      <c r="F610" s="81"/>
    </row>
    <row r="611" spans="4:6" ht="12.5" x14ac:dyDescent="0.25">
      <c r="D611" s="80"/>
      <c r="E611" s="81"/>
      <c r="F611" s="81"/>
    </row>
    <row r="612" spans="4:6" ht="12.5" x14ac:dyDescent="0.25">
      <c r="D612" s="80"/>
      <c r="E612" s="81"/>
      <c r="F612" s="81"/>
    </row>
    <row r="613" spans="4:6" ht="12.5" x14ac:dyDescent="0.25">
      <c r="D613" s="80"/>
      <c r="E613" s="81"/>
      <c r="F613" s="81"/>
    </row>
    <row r="614" spans="4:6" ht="12.5" x14ac:dyDescent="0.25">
      <c r="D614" s="80"/>
      <c r="E614" s="81"/>
      <c r="F614" s="81"/>
    </row>
    <row r="615" spans="4:6" ht="12.5" x14ac:dyDescent="0.25">
      <c r="D615" s="80"/>
      <c r="E615" s="81"/>
      <c r="F615" s="81"/>
    </row>
    <row r="616" spans="4:6" ht="12.5" x14ac:dyDescent="0.25">
      <c r="D616" s="80"/>
      <c r="E616" s="81"/>
      <c r="F616" s="81"/>
    </row>
    <row r="617" spans="4:6" ht="12.5" x14ac:dyDescent="0.25">
      <c r="D617" s="80"/>
      <c r="E617" s="81"/>
      <c r="F617" s="81"/>
    </row>
    <row r="618" spans="4:6" ht="12.5" x14ac:dyDescent="0.25">
      <c r="D618" s="80"/>
      <c r="E618" s="81"/>
      <c r="F618" s="81"/>
    </row>
    <row r="619" spans="4:6" ht="12.5" x14ac:dyDescent="0.25">
      <c r="D619" s="80"/>
      <c r="E619" s="81"/>
      <c r="F619" s="81"/>
    </row>
    <row r="620" spans="4:6" ht="12.5" x14ac:dyDescent="0.25">
      <c r="D620" s="80"/>
      <c r="E620" s="81"/>
      <c r="F620" s="81"/>
    </row>
    <row r="621" spans="4:6" ht="12.5" x14ac:dyDescent="0.25">
      <c r="D621" s="80"/>
      <c r="E621" s="81"/>
      <c r="F621" s="81"/>
    </row>
    <row r="622" spans="4:6" ht="12.5" x14ac:dyDescent="0.25">
      <c r="D622" s="80"/>
      <c r="E622" s="81"/>
      <c r="F622" s="81"/>
    </row>
    <row r="623" spans="4:6" ht="12.5" x14ac:dyDescent="0.25">
      <c r="D623" s="80"/>
      <c r="E623" s="81"/>
      <c r="F623" s="81"/>
    </row>
    <row r="624" spans="4:6" ht="12.5" x14ac:dyDescent="0.25">
      <c r="D624" s="80"/>
      <c r="E624" s="81"/>
      <c r="F624" s="81"/>
    </row>
    <row r="625" spans="4:6" ht="12.5" x14ac:dyDescent="0.25">
      <c r="D625" s="80"/>
      <c r="E625" s="81"/>
      <c r="F625" s="81"/>
    </row>
    <row r="626" spans="4:6" ht="12.5" x14ac:dyDescent="0.25">
      <c r="D626" s="80"/>
      <c r="E626" s="81"/>
      <c r="F626" s="81"/>
    </row>
    <row r="627" spans="4:6" ht="12.5" x14ac:dyDescent="0.25">
      <c r="D627" s="80"/>
      <c r="E627" s="81"/>
      <c r="F627" s="81"/>
    </row>
    <row r="628" spans="4:6" ht="12.5" x14ac:dyDescent="0.25">
      <c r="D628" s="80"/>
      <c r="E628" s="81"/>
      <c r="F628" s="81"/>
    </row>
    <row r="629" spans="4:6" ht="12.5" x14ac:dyDescent="0.25">
      <c r="D629" s="80"/>
      <c r="E629" s="81"/>
      <c r="F629" s="81"/>
    </row>
    <row r="630" spans="4:6" ht="12.5" x14ac:dyDescent="0.25">
      <c r="D630" s="80"/>
      <c r="E630" s="81"/>
      <c r="F630" s="81"/>
    </row>
    <row r="631" spans="4:6" ht="12.5" x14ac:dyDescent="0.25">
      <c r="D631" s="80"/>
      <c r="E631" s="81"/>
      <c r="F631" s="81"/>
    </row>
    <row r="632" spans="4:6" ht="12.5" x14ac:dyDescent="0.25">
      <c r="D632" s="80"/>
      <c r="E632" s="81"/>
      <c r="F632" s="81"/>
    </row>
    <row r="633" spans="4:6" ht="12.5" x14ac:dyDescent="0.25">
      <c r="D633" s="80"/>
      <c r="E633" s="81"/>
      <c r="F633" s="81"/>
    </row>
    <row r="634" spans="4:6" ht="12.5" x14ac:dyDescent="0.25">
      <c r="D634" s="80"/>
      <c r="E634" s="81"/>
      <c r="F634" s="81"/>
    </row>
    <row r="635" spans="4:6" ht="12.5" x14ac:dyDescent="0.25">
      <c r="D635" s="80"/>
      <c r="E635" s="81"/>
      <c r="F635" s="81"/>
    </row>
    <row r="636" spans="4:6" ht="12.5" x14ac:dyDescent="0.25">
      <c r="D636" s="80"/>
      <c r="E636" s="81"/>
      <c r="F636" s="81"/>
    </row>
    <row r="637" spans="4:6" ht="12.5" x14ac:dyDescent="0.25">
      <c r="D637" s="80"/>
      <c r="E637" s="81"/>
      <c r="F637" s="81"/>
    </row>
    <row r="638" spans="4:6" ht="12.5" x14ac:dyDescent="0.25">
      <c r="D638" s="80"/>
      <c r="E638" s="81"/>
      <c r="F638" s="81"/>
    </row>
    <row r="639" spans="4:6" ht="12.5" x14ac:dyDescent="0.25">
      <c r="D639" s="80"/>
      <c r="E639" s="81"/>
      <c r="F639" s="81"/>
    </row>
    <row r="640" spans="4:6" ht="12.5" x14ac:dyDescent="0.25">
      <c r="D640" s="80"/>
      <c r="E640" s="81"/>
      <c r="F640" s="81"/>
    </row>
    <row r="641" spans="4:6" ht="12.5" x14ac:dyDescent="0.25">
      <c r="D641" s="80"/>
      <c r="E641" s="81"/>
      <c r="F641" s="81"/>
    </row>
    <row r="642" spans="4:6" ht="12.5" x14ac:dyDescent="0.25">
      <c r="D642" s="80"/>
      <c r="E642" s="81"/>
      <c r="F642" s="81"/>
    </row>
    <row r="643" spans="4:6" ht="12.5" x14ac:dyDescent="0.25">
      <c r="D643" s="80"/>
      <c r="E643" s="81"/>
      <c r="F643" s="81"/>
    </row>
    <row r="644" spans="4:6" ht="12.5" x14ac:dyDescent="0.25">
      <c r="D644" s="80"/>
      <c r="E644" s="81"/>
      <c r="F644" s="81"/>
    </row>
    <row r="645" spans="4:6" ht="12.5" x14ac:dyDescent="0.25">
      <c r="D645" s="80"/>
      <c r="E645" s="81"/>
      <c r="F645" s="81"/>
    </row>
    <row r="646" spans="4:6" ht="12.5" x14ac:dyDescent="0.25">
      <c r="D646" s="80"/>
      <c r="E646" s="81"/>
      <c r="F646" s="81"/>
    </row>
    <row r="647" spans="4:6" ht="12.5" x14ac:dyDescent="0.25">
      <c r="D647" s="80"/>
      <c r="E647" s="81"/>
      <c r="F647" s="81"/>
    </row>
    <row r="648" spans="4:6" ht="12.5" x14ac:dyDescent="0.25">
      <c r="D648" s="80"/>
      <c r="E648" s="81"/>
      <c r="F648" s="81"/>
    </row>
    <row r="649" spans="4:6" ht="12.5" x14ac:dyDescent="0.25">
      <c r="D649" s="80"/>
      <c r="E649" s="81"/>
      <c r="F649" s="81"/>
    </row>
    <row r="650" spans="4:6" ht="12.5" x14ac:dyDescent="0.25">
      <c r="D650" s="80"/>
      <c r="E650" s="81"/>
      <c r="F650" s="81"/>
    </row>
    <row r="651" spans="4:6" ht="12.5" x14ac:dyDescent="0.25">
      <c r="D651" s="80"/>
      <c r="E651" s="81"/>
      <c r="F651" s="81"/>
    </row>
    <row r="652" spans="4:6" ht="12.5" x14ac:dyDescent="0.25">
      <c r="D652" s="80"/>
      <c r="E652" s="81"/>
      <c r="F652" s="81"/>
    </row>
    <row r="653" spans="4:6" ht="12.5" x14ac:dyDescent="0.25">
      <c r="D653" s="80"/>
      <c r="E653" s="81"/>
      <c r="F653" s="81"/>
    </row>
    <row r="654" spans="4:6" ht="12.5" x14ac:dyDescent="0.25">
      <c r="D654" s="80"/>
      <c r="E654" s="81"/>
      <c r="F654" s="81"/>
    </row>
    <row r="655" spans="4:6" ht="12.5" x14ac:dyDescent="0.25">
      <c r="D655" s="80"/>
      <c r="E655" s="81"/>
      <c r="F655" s="81"/>
    </row>
    <row r="656" spans="4:6" ht="12.5" x14ac:dyDescent="0.25">
      <c r="D656" s="80"/>
      <c r="E656" s="81"/>
      <c r="F656" s="81"/>
    </row>
    <row r="657" spans="4:6" ht="12.5" x14ac:dyDescent="0.25">
      <c r="D657" s="80"/>
      <c r="E657" s="81"/>
      <c r="F657" s="81"/>
    </row>
    <row r="658" spans="4:6" ht="12.5" x14ac:dyDescent="0.25">
      <c r="D658" s="80"/>
      <c r="E658" s="81"/>
      <c r="F658" s="81"/>
    </row>
    <row r="659" spans="4:6" ht="12.5" x14ac:dyDescent="0.25">
      <c r="D659" s="80"/>
      <c r="E659" s="81"/>
      <c r="F659" s="81"/>
    </row>
    <row r="660" spans="4:6" ht="12.5" x14ac:dyDescent="0.25">
      <c r="D660" s="80"/>
      <c r="E660" s="81"/>
      <c r="F660" s="81"/>
    </row>
    <row r="661" spans="4:6" ht="12.5" x14ac:dyDescent="0.25">
      <c r="D661" s="80"/>
      <c r="E661" s="81"/>
      <c r="F661" s="81"/>
    </row>
    <row r="662" spans="4:6" ht="12.5" x14ac:dyDescent="0.25">
      <c r="D662" s="80"/>
      <c r="E662" s="81"/>
      <c r="F662" s="81"/>
    </row>
    <row r="663" spans="4:6" ht="12.5" x14ac:dyDescent="0.25">
      <c r="D663" s="80"/>
      <c r="E663" s="81"/>
      <c r="F663" s="81"/>
    </row>
    <row r="664" spans="4:6" ht="12.5" x14ac:dyDescent="0.25">
      <c r="D664" s="80"/>
      <c r="E664" s="81"/>
      <c r="F664" s="81"/>
    </row>
    <row r="665" spans="4:6" ht="12.5" x14ac:dyDescent="0.25">
      <c r="D665" s="80"/>
      <c r="E665" s="81"/>
      <c r="F665" s="81"/>
    </row>
    <row r="666" spans="4:6" ht="12.5" x14ac:dyDescent="0.25">
      <c r="D666" s="80"/>
      <c r="E666" s="81"/>
      <c r="F666" s="81"/>
    </row>
    <row r="667" spans="4:6" ht="12.5" x14ac:dyDescent="0.25">
      <c r="D667" s="80"/>
      <c r="E667" s="81"/>
      <c r="F667" s="81"/>
    </row>
    <row r="668" spans="4:6" ht="12.5" x14ac:dyDescent="0.25">
      <c r="D668" s="80"/>
      <c r="E668" s="81"/>
      <c r="F668" s="81"/>
    </row>
    <row r="669" spans="4:6" ht="12.5" x14ac:dyDescent="0.25">
      <c r="D669" s="80"/>
      <c r="E669" s="81"/>
      <c r="F669" s="81"/>
    </row>
    <row r="670" spans="4:6" ht="12.5" x14ac:dyDescent="0.25">
      <c r="D670" s="80"/>
      <c r="E670" s="81"/>
      <c r="F670" s="81"/>
    </row>
    <row r="671" spans="4:6" ht="12.5" x14ac:dyDescent="0.25">
      <c r="D671" s="80"/>
      <c r="E671" s="81"/>
      <c r="F671" s="81"/>
    </row>
    <row r="672" spans="4:6" ht="12.5" x14ac:dyDescent="0.25">
      <c r="D672" s="80"/>
      <c r="E672" s="81"/>
      <c r="F672" s="81"/>
    </row>
    <row r="673" spans="4:6" ht="12.5" x14ac:dyDescent="0.25">
      <c r="D673" s="80"/>
      <c r="E673" s="81"/>
      <c r="F673" s="81"/>
    </row>
    <row r="674" spans="4:6" ht="12.5" x14ac:dyDescent="0.25">
      <c r="D674" s="80"/>
      <c r="E674" s="81"/>
      <c r="F674" s="81"/>
    </row>
    <row r="675" spans="4:6" ht="12.5" x14ac:dyDescent="0.25">
      <c r="D675" s="80"/>
      <c r="E675" s="81"/>
      <c r="F675" s="81"/>
    </row>
    <row r="676" spans="4:6" ht="12.5" x14ac:dyDescent="0.25">
      <c r="D676" s="80"/>
      <c r="E676" s="81"/>
      <c r="F676" s="81"/>
    </row>
    <row r="677" spans="4:6" ht="12.5" x14ac:dyDescent="0.25">
      <c r="D677" s="80"/>
      <c r="E677" s="81"/>
      <c r="F677" s="81"/>
    </row>
    <row r="678" spans="4:6" ht="12.5" x14ac:dyDescent="0.25">
      <c r="D678" s="80"/>
      <c r="E678" s="81"/>
      <c r="F678" s="81"/>
    </row>
    <row r="679" spans="4:6" ht="12.5" x14ac:dyDescent="0.25">
      <c r="D679" s="80"/>
      <c r="E679" s="81"/>
      <c r="F679" s="81"/>
    </row>
    <row r="680" spans="4:6" ht="12.5" x14ac:dyDescent="0.25">
      <c r="D680" s="80"/>
      <c r="E680" s="81"/>
      <c r="F680" s="81"/>
    </row>
    <row r="681" spans="4:6" ht="12.5" x14ac:dyDescent="0.25">
      <c r="D681" s="80"/>
      <c r="E681" s="81"/>
      <c r="F681" s="81"/>
    </row>
    <row r="682" spans="4:6" ht="12.5" x14ac:dyDescent="0.25">
      <c r="D682" s="80"/>
      <c r="E682" s="81"/>
      <c r="F682" s="81"/>
    </row>
    <row r="683" spans="4:6" ht="12.5" x14ac:dyDescent="0.25">
      <c r="D683" s="80"/>
      <c r="E683" s="81"/>
      <c r="F683" s="81"/>
    </row>
    <row r="684" spans="4:6" ht="12.5" x14ac:dyDescent="0.25">
      <c r="D684" s="80"/>
      <c r="E684" s="81"/>
      <c r="F684" s="81"/>
    </row>
    <row r="685" spans="4:6" ht="12.5" x14ac:dyDescent="0.25">
      <c r="D685" s="80"/>
      <c r="E685" s="81"/>
      <c r="F685" s="81"/>
    </row>
    <row r="686" spans="4:6" ht="12.5" x14ac:dyDescent="0.25">
      <c r="D686" s="80"/>
      <c r="E686" s="81"/>
      <c r="F686" s="81"/>
    </row>
    <row r="687" spans="4:6" ht="12.5" x14ac:dyDescent="0.25">
      <c r="D687" s="80"/>
      <c r="E687" s="81"/>
      <c r="F687" s="81"/>
    </row>
    <row r="688" spans="4:6" ht="12.5" x14ac:dyDescent="0.25">
      <c r="D688" s="80"/>
      <c r="E688" s="81"/>
      <c r="F688" s="81"/>
    </row>
    <row r="689" spans="4:6" ht="12.5" x14ac:dyDescent="0.25">
      <c r="D689" s="80"/>
      <c r="E689" s="81"/>
      <c r="F689" s="81"/>
    </row>
    <row r="690" spans="4:6" ht="12.5" x14ac:dyDescent="0.25">
      <c r="D690" s="80"/>
      <c r="E690" s="81"/>
      <c r="F690" s="81"/>
    </row>
    <row r="691" spans="4:6" ht="12.5" x14ac:dyDescent="0.25">
      <c r="D691" s="80"/>
      <c r="E691" s="81"/>
      <c r="F691" s="81"/>
    </row>
    <row r="692" spans="4:6" ht="12.5" x14ac:dyDescent="0.25">
      <c r="D692" s="80"/>
      <c r="E692" s="81"/>
      <c r="F692" s="81"/>
    </row>
    <row r="693" spans="4:6" ht="12.5" x14ac:dyDescent="0.25">
      <c r="D693" s="80"/>
      <c r="E693" s="81"/>
      <c r="F693" s="81"/>
    </row>
    <row r="694" spans="4:6" ht="12.5" x14ac:dyDescent="0.25">
      <c r="D694" s="80"/>
      <c r="E694" s="81"/>
      <c r="F694" s="81"/>
    </row>
    <row r="695" spans="4:6" ht="12.5" x14ac:dyDescent="0.25">
      <c r="D695" s="80"/>
      <c r="E695" s="81"/>
      <c r="F695" s="81"/>
    </row>
    <row r="696" spans="4:6" ht="12.5" x14ac:dyDescent="0.25">
      <c r="D696" s="80"/>
      <c r="E696" s="81"/>
      <c r="F696" s="81"/>
    </row>
    <row r="697" spans="4:6" ht="12.5" x14ac:dyDescent="0.25">
      <c r="D697" s="80"/>
      <c r="E697" s="81"/>
      <c r="F697" s="81"/>
    </row>
    <row r="698" spans="4:6" ht="12.5" x14ac:dyDescent="0.25">
      <c r="D698" s="80"/>
      <c r="E698" s="81"/>
      <c r="F698" s="81"/>
    </row>
    <row r="699" spans="4:6" ht="12.5" x14ac:dyDescent="0.25">
      <c r="D699" s="80"/>
      <c r="E699" s="81"/>
      <c r="F699" s="81"/>
    </row>
    <row r="700" spans="4:6" ht="12.5" x14ac:dyDescent="0.25">
      <c r="D700" s="80"/>
      <c r="E700" s="81"/>
      <c r="F700" s="81"/>
    </row>
    <row r="701" spans="4:6" ht="12.5" x14ac:dyDescent="0.25">
      <c r="D701" s="80"/>
      <c r="E701" s="81"/>
      <c r="F701" s="81"/>
    </row>
    <row r="702" spans="4:6" ht="12.5" x14ac:dyDescent="0.25">
      <c r="D702" s="80"/>
      <c r="E702" s="81"/>
      <c r="F702" s="81"/>
    </row>
    <row r="703" spans="4:6" ht="12.5" x14ac:dyDescent="0.25">
      <c r="D703" s="80"/>
      <c r="E703" s="81"/>
      <c r="F703" s="81"/>
    </row>
    <row r="704" spans="4:6" ht="12.5" x14ac:dyDescent="0.25">
      <c r="D704" s="80"/>
      <c r="E704" s="81"/>
      <c r="F704" s="81"/>
    </row>
    <row r="705" spans="4:6" ht="12.5" x14ac:dyDescent="0.25">
      <c r="D705" s="80"/>
      <c r="E705" s="81"/>
      <c r="F705" s="81"/>
    </row>
    <row r="706" spans="4:6" ht="12.5" x14ac:dyDescent="0.25">
      <c r="D706" s="80"/>
      <c r="E706" s="81"/>
      <c r="F706" s="81"/>
    </row>
    <row r="707" spans="4:6" ht="12.5" x14ac:dyDescent="0.25">
      <c r="D707" s="80"/>
      <c r="E707" s="81"/>
      <c r="F707" s="81"/>
    </row>
    <row r="708" spans="4:6" ht="12.5" x14ac:dyDescent="0.25">
      <c r="D708" s="80"/>
      <c r="E708" s="81"/>
      <c r="F708" s="81"/>
    </row>
    <row r="709" spans="4:6" ht="12.5" x14ac:dyDescent="0.25">
      <c r="D709" s="80"/>
      <c r="E709" s="81"/>
      <c r="F709" s="81"/>
    </row>
    <row r="710" spans="4:6" ht="12.5" x14ac:dyDescent="0.25">
      <c r="D710" s="80"/>
      <c r="E710" s="81"/>
      <c r="F710" s="81"/>
    </row>
    <row r="711" spans="4:6" ht="12.5" x14ac:dyDescent="0.25">
      <c r="D711" s="80"/>
      <c r="E711" s="81"/>
      <c r="F711" s="81"/>
    </row>
    <row r="712" spans="4:6" ht="12.5" x14ac:dyDescent="0.25">
      <c r="D712" s="80"/>
      <c r="E712" s="81"/>
      <c r="F712" s="81"/>
    </row>
    <row r="713" spans="4:6" ht="12.5" x14ac:dyDescent="0.25">
      <c r="D713" s="80"/>
      <c r="E713" s="81"/>
      <c r="F713" s="81"/>
    </row>
    <row r="714" spans="4:6" ht="12.5" x14ac:dyDescent="0.25">
      <c r="D714" s="80"/>
      <c r="E714" s="81"/>
      <c r="F714" s="81"/>
    </row>
    <row r="715" spans="4:6" ht="12.5" x14ac:dyDescent="0.25">
      <c r="D715" s="80"/>
      <c r="E715" s="81"/>
      <c r="F715" s="81"/>
    </row>
    <row r="716" spans="4:6" ht="12.5" x14ac:dyDescent="0.25">
      <c r="D716" s="80"/>
      <c r="E716" s="81"/>
      <c r="F716" s="81"/>
    </row>
    <row r="717" spans="4:6" ht="12.5" x14ac:dyDescent="0.25">
      <c r="D717" s="80"/>
      <c r="E717" s="81"/>
      <c r="F717" s="81"/>
    </row>
    <row r="718" spans="4:6" ht="12.5" x14ac:dyDescent="0.25">
      <c r="D718" s="80"/>
      <c r="E718" s="81"/>
      <c r="F718" s="81"/>
    </row>
    <row r="719" spans="4:6" ht="12.5" x14ac:dyDescent="0.25">
      <c r="D719" s="80"/>
      <c r="E719" s="81"/>
      <c r="F719" s="81"/>
    </row>
    <row r="720" spans="4:6" ht="12.5" x14ac:dyDescent="0.25">
      <c r="D720" s="80"/>
      <c r="E720" s="81"/>
      <c r="F720" s="81"/>
    </row>
    <row r="721" spans="4:6" ht="12.5" x14ac:dyDescent="0.25">
      <c r="D721" s="80"/>
      <c r="E721" s="81"/>
      <c r="F721" s="81"/>
    </row>
    <row r="722" spans="4:6" ht="12.5" x14ac:dyDescent="0.25">
      <c r="D722" s="80"/>
      <c r="E722" s="81"/>
      <c r="F722" s="81"/>
    </row>
    <row r="723" spans="4:6" ht="12.5" x14ac:dyDescent="0.25">
      <c r="D723" s="80"/>
      <c r="E723" s="81"/>
      <c r="F723" s="81"/>
    </row>
    <row r="724" spans="4:6" ht="12.5" x14ac:dyDescent="0.25">
      <c r="D724" s="80"/>
      <c r="E724" s="81"/>
      <c r="F724" s="81"/>
    </row>
    <row r="725" spans="4:6" ht="12.5" x14ac:dyDescent="0.25">
      <c r="D725" s="80"/>
      <c r="E725" s="81"/>
      <c r="F725" s="81"/>
    </row>
    <row r="726" spans="4:6" ht="12.5" x14ac:dyDescent="0.25">
      <c r="D726" s="80"/>
      <c r="E726" s="81"/>
      <c r="F726" s="81"/>
    </row>
    <row r="727" spans="4:6" ht="12.5" x14ac:dyDescent="0.25">
      <c r="D727" s="80"/>
      <c r="E727" s="81"/>
      <c r="F727" s="81"/>
    </row>
    <row r="728" spans="4:6" ht="12.5" x14ac:dyDescent="0.25">
      <c r="D728" s="80"/>
      <c r="E728" s="81"/>
      <c r="F728" s="81"/>
    </row>
    <row r="729" spans="4:6" ht="12.5" x14ac:dyDescent="0.25">
      <c r="D729" s="80"/>
      <c r="E729" s="81"/>
      <c r="F729" s="81"/>
    </row>
    <row r="730" spans="4:6" ht="12.5" x14ac:dyDescent="0.25">
      <c r="D730" s="80"/>
      <c r="E730" s="81"/>
      <c r="F730" s="81"/>
    </row>
    <row r="731" spans="4:6" ht="12.5" x14ac:dyDescent="0.25">
      <c r="D731" s="80"/>
      <c r="E731" s="81"/>
      <c r="F731" s="81"/>
    </row>
    <row r="732" spans="4:6" ht="12.5" x14ac:dyDescent="0.25">
      <c r="D732" s="80"/>
      <c r="E732" s="81"/>
      <c r="F732" s="81"/>
    </row>
    <row r="733" spans="4:6" ht="12.5" x14ac:dyDescent="0.25">
      <c r="D733" s="80"/>
      <c r="E733" s="81"/>
      <c r="F733" s="81"/>
    </row>
    <row r="734" spans="4:6" ht="12.5" x14ac:dyDescent="0.25">
      <c r="D734" s="80"/>
      <c r="E734" s="81"/>
      <c r="F734" s="81"/>
    </row>
    <row r="735" spans="4:6" ht="12.5" x14ac:dyDescent="0.25">
      <c r="D735" s="80"/>
      <c r="E735" s="81"/>
      <c r="F735" s="81"/>
    </row>
    <row r="736" spans="4:6" ht="12.5" x14ac:dyDescent="0.25">
      <c r="D736" s="80"/>
      <c r="E736" s="81"/>
      <c r="F736" s="81"/>
    </row>
    <row r="737" spans="4:6" ht="12.5" x14ac:dyDescent="0.25">
      <c r="D737" s="80"/>
      <c r="E737" s="81"/>
      <c r="F737" s="81"/>
    </row>
    <row r="738" spans="4:6" ht="12.5" x14ac:dyDescent="0.25">
      <c r="D738" s="80"/>
      <c r="E738" s="81"/>
      <c r="F738" s="81"/>
    </row>
    <row r="739" spans="4:6" ht="12.5" x14ac:dyDescent="0.25">
      <c r="D739" s="80"/>
      <c r="E739" s="81"/>
      <c r="F739" s="81"/>
    </row>
    <row r="740" spans="4:6" ht="12.5" x14ac:dyDescent="0.25">
      <c r="D740" s="80"/>
      <c r="E740" s="81"/>
      <c r="F740" s="81"/>
    </row>
    <row r="741" spans="4:6" ht="12.5" x14ac:dyDescent="0.25">
      <c r="D741" s="80"/>
      <c r="E741" s="81"/>
      <c r="F741" s="81"/>
    </row>
    <row r="742" spans="4:6" ht="12.5" x14ac:dyDescent="0.25">
      <c r="D742" s="80"/>
      <c r="E742" s="81"/>
      <c r="F742" s="81"/>
    </row>
    <row r="743" spans="4:6" ht="12.5" x14ac:dyDescent="0.25">
      <c r="D743" s="80"/>
      <c r="E743" s="81"/>
      <c r="F743" s="81"/>
    </row>
    <row r="744" spans="4:6" ht="12.5" x14ac:dyDescent="0.25">
      <c r="D744" s="80"/>
      <c r="E744" s="81"/>
      <c r="F744" s="81"/>
    </row>
    <row r="745" spans="4:6" ht="12.5" x14ac:dyDescent="0.25">
      <c r="D745" s="80"/>
      <c r="E745" s="81"/>
      <c r="F745" s="81"/>
    </row>
    <row r="746" spans="4:6" ht="12.5" x14ac:dyDescent="0.25">
      <c r="D746" s="80"/>
      <c r="E746" s="81"/>
      <c r="F746" s="81"/>
    </row>
    <row r="747" spans="4:6" ht="12.5" x14ac:dyDescent="0.25">
      <c r="D747" s="80"/>
      <c r="E747" s="81"/>
      <c r="F747" s="81"/>
    </row>
    <row r="748" spans="4:6" ht="12.5" x14ac:dyDescent="0.25">
      <c r="D748" s="80"/>
      <c r="E748" s="81"/>
      <c r="F748" s="81"/>
    </row>
    <row r="749" spans="4:6" ht="12.5" x14ac:dyDescent="0.25">
      <c r="D749" s="80"/>
      <c r="E749" s="81"/>
      <c r="F749" s="81"/>
    </row>
    <row r="750" spans="4:6" ht="12.5" x14ac:dyDescent="0.25">
      <c r="D750" s="80"/>
      <c r="E750" s="81"/>
      <c r="F750" s="81"/>
    </row>
    <row r="751" spans="4:6" ht="12.5" x14ac:dyDescent="0.25">
      <c r="D751" s="80"/>
      <c r="E751" s="81"/>
      <c r="F751" s="81"/>
    </row>
    <row r="752" spans="4:6" ht="12.5" x14ac:dyDescent="0.25">
      <c r="D752" s="80"/>
      <c r="E752" s="81"/>
      <c r="F752" s="81"/>
    </row>
    <row r="753" spans="4:6" ht="12.5" x14ac:dyDescent="0.25">
      <c r="D753" s="80"/>
      <c r="E753" s="81"/>
      <c r="F753" s="81"/>
    </row>
    <row r="754" spans="4:6" ht="12.5" x14ac:dyDescent="0.25">
      <c r="D754" s="80"/>
      <c r="E754" s="81"/>
      <c r="F754" s="81"/>
    </row>
    <row r="755" spans="4:6" ht="12.5" x14ac:dyDescent="0.25">
      <c r="D755" s="80"/>
      <c r="E755" s="81"/>
      <c r="F755" s="81"/>
    </row>
    <row r="756" spans="4:6" ht="12.5" x14ac:dyDescent="0.25">
      <c r="D756" s="80"/>
      <c r="E756" s="81"/>
      <c r="F756" s="81"/>
    </row>
    <row r="757" spans="4:6" ht="12.5" x14ac:dyDescent="0.25">
      <c r="D757" s="80"/>
      <c r="E757" s="81"/>
      <c r="F757" s="81"/>
    </row>
    <row r="758" spans="4:6" ht="12.5" x14ac:dyDescent="0.25">
      <c r="D758" s="80"/>
      <c r="E758" s="81"/>
      <c r="F758" s="81"/>
    </row>
    <row r="759" spans="4:6" ht="12.5" x14ac:dyDescent="0.25">
      <c r="D759" s="80"/>
      <c r="E759" s="81"/>
      <c r="F759" s="81"/>
    </row>
    <row r="760" spans="4:6" ht="12.5" x14ac:dyDescent="0.25">
      <c r="D760" s="80"/>
      <c r="E760" s="81"/>
      <c r="F760" s="81"/>
    </row>
    <row r="761" spans="4:6" ht="12.5" x14ac:dyDescent="0.25">
      <c r="D761" s="80"/>
      <c r="E761" s="81"/>
      <c r="F761" s="81"/>
    </row>
    <row r="762" spans="4:6" ht="12.5" x14ac:dyDescent="0.25">
      <c r="D762" s="80"/>
      <c r="E762" s="81"/>
      <c r="F762" s="81"/>
    </row>
    <row r="763" spans="4:6" ht="12.5" x14ac:dyDescent="0.25">
      <c r="D763" s="80"/>
      <c r="E763" s="81"/>
      <c r="F763" s="81"/>
    </row>
    <row r="764" spans="4:6" ht="12.5" x14ac:dyDescent="0.25">
      <c r="D764" s="80"/>
      <c r="E764" s="81"/>
      <c r="F764" s="81"/>
    </row>
    <row r="765" spans="4:6" ht="12.5" x14ac:dyDescent="0.25">
      <c r="D765" s="80"/>
      <c r="E765" s="81"/>
      <c r="F765" s="81"/>
    </row>
    <row r="766" spans="4:6" ht="12.5" x14ac:dyDescent="0.25">
      <c r="D766" s="80"/>
      <c r="E766" s="81"/>
      <c r="F766" s="81"/>
    </row>
    <row r="767" spans="4:6" ht="12.5" x14ac:dyDescent="0.25">
      <c r="D767" s="80"/>
      <c r="E767" s="81"/>
      <c r="F767" s="81"/>
    </row>
    <row r="768" spans="4:6" ht="12.5" x14ac:dyDescent="0.25">
      <c r="D768" s="80"/>
      <c r="E768" s="81"/>
      <c r="F768" s="81"/>
    </row>
    <row r="769" spans="4:6" ht="12.5" x14ac:dyDescent="0.25">
      <c r="D769" s="80"/>
      <c r="E769" s="81"/>
      <c r="F769" s="81"/>
    </row>
    <row r="770" spans="4:6" ht="12.5" x14ac:dyDescent="0.25">
      <c r="D770" s="80"/>
      <c r="E770" s="81"/>
      <c r="F770" s="81"/>
    </row>
    <row r="771" spans="4:6" ht="12.5" x14ac:dyDescent="0.25">
      <c r="D771" s="80"/>
      <c r="E771" s="81"/>
      <c r="F771" s="81"/>
    </row>
    <row r="772" spans="4:6" ht="12.5" x14ac:dyDescent="0.25">
      <c r="D772" s="80"/>
      <c r="E772" s="81"/>
      <c r="F772" s="81"/>
    </row>
    <row r="773" spans="4:6" ht="12.5" x14ac:dyDescent="0.25">
      <c r="D773" s="80"/>
      <c r="E773" s="81"/>
      <c r="F773" s="81"/>
    </row>
    <row r="774" spans="4:6" ht="12.5" x14ac:dyDescent="0.25">
      <c r="D774" s="80"/>
      <c r="E774" s="81"/>
      <c r="F774" s="81"/>
    </row>
    <row r="775" spans="4:6" ht="12.5" x14ac:dyDescent="0.25">
      <c r="D775" s="80"/>
      <c r="E775" s="81"/>
      <c r="F775" s="81"/>
    </row>
    <row r="776" spans="4:6" ht="12.5" x14ac:dyDescent="0.25">
      <c r="D776" s="80"/>
      <c r="E776" s="81"/>
      <c r="F776" s="81"/>
    </row>
    <row r="777" spans="4:6" ht="12.5" x14ac:dyDescent="0.25">
      <c r="D777" s="80"/>
      <c r="E777" s="81"/>
      <c r="F777" s="81"/>
    </row>
    <row r="778" spans="4:6" ht="12.5" x14ac:dyDescent="0.25">
      <c r="D778" s="80"/>
      <c r="E778" s="81"/>
      <c r="F778" s="81"/>
    </row>
    <row r="779" spans="4:6" ht="12.5" x14ac:dyDescent="0.25">
      <c r="D779" s="80"/>
      <c r="E779" s="81"/>
      <c r="F779" s="81"/>
    </row>
    <row r="780" spans="4:6" ht="12.5" x14ac:dyDescent="0.25">
      <c r="D780" s="80"/>
      <c r="E780" s="81"/>
      <c r="F780" s="81"/>
    </row>
    <row r="781" spans="4:6" ht="12.5" x14ac:dyDescent="0.25">
      <c r="D781" s="80"/>
      <c r="E781" s="81"/>
      <c r="F781" s="81"/>
    </row>
    <row r="782" spans="4:6" ht="12.5" x14ac:dyDescent="0.25">
      <c r="D782" s="80"/>
      <c r="E782" s="81"/>
      <c r="F782" s="81"/>
    </row>
    <row r="783" spans="4:6" ht="12.5" x14ac:dyDescent="0.25">
      <c r="D783" s="80"/>
      <c r="E783" s="81"/>
      <c r="F783" s="81"/>
    </row>
    <row r="784" spans="4:6" ht="12.5" x14ac:dyDescent="0.25">
      <c r="D784" s="80"/>
      <c r="E784" s="81"/>
      <c r="F784" s="81"/>
    </row>
    <row r="785" spans="4:6" ht="12.5" x14ac:dyDescent="0.25">
      <c r="D785" s="80"/>
      <c r="E785" s="81"/>
      <c r="F785" s="81"/>
    </row>
    <row r="786" spans="4:6" ht="12.5" x14ac:dyDescent="0.25">
      <c r="D786" s="80"/>
      <c r="E786" s="81"/>
      <c r="F786" s="81"/>
    </row>
    <row r="787" spans="4:6" ht="12.5" x14ac:dyDescent="0.25">
      <c r="D787" s="80"/>
      <c r="E787" s="81"/>
      <c r="F787" s="81"/>
    </row>
    <row r="788" spans="4:6" ht="12.5" x14ac:dyDescent="0.25">
      <c r="D788" s="80"/>
      <c r="E788" s="81"/>
      <c r="F788" s="81"/>
    </row>
    <row r="789" spans="4:6" ht="12.5" x14ac:dyDescent="0.25">
      <c r="D789" s="80"/>
      <c r="E789" s="81"/>
      <c r="F789" s="81"/>
    </row>
    <row r="790" spans="4:6" ht="12.5" x14ac:dyDescent="0.25">
      <c r="D790" s="80"/>
      <c r="E790" s="81"/>
      <c r="F790" s="81"/>
    </row>
    <row r="791" spans="4:6" ht="12.5" x14ac:dyDescent="0.25">
      <c r="D791" s="80"/>
      <c r="E791" s="81"/>
      <c r="F791" s="81"/>
    </row>
    <row r="792" spans="4:6" ht="12.5" x14ac:dyDescent="0.25">
      <c r="D792" s="80"/>
      <c r="E792" s="81"/>
      <c r="F792" s="81"/>
    </row>
    <row r="793" spans="4:6" ht="12.5" x14ac:dyDescent="0.25">
      <c r="D793" s="80"/>
      <c r="E793" s="81"/>
      <c r="F793" s="81"/>
    </row>
    <row r="794" spans="4:6" ht="12.5" x14ac:dyDescent="0.25">
      <c r="D794" s="80"/>
      <c r="E794" s="81"/>
      <c r="F794" s="81"/>
    </row>
    <row r="795" spans="4:6" ht="12.5" x14ac:dyDescent="0.25">
      <c r="D795" s="80"/>
      <c r="E795" s="81"/>
      <c r="F795" s="81"/>
    </row>
    <row r="796" spans="4:6" ht="12.5" x14ac:dyDescent="0.25">
      <c r="D796" s="80"/>
      <c r="E796" s="81"/>
      <c r="F796" s="81"/>
    </row>
    <row r="797" spans="4:6" ht="12.5" x14ac:dyDescent="0.25">
      <c r="D797" s="80"/>
      <c r="E797" s="81"/>
      <c r="F797" s="81"/>
    </row>
    <row r="798" spans="4:6" ht="12.5" x14ac:dyDescent="0.25">
      <c r="D798" s="80"/>
      <c r="E798" s="81"/>
      <c r="F798" s="81"/>
    </row>
    <row r="799" spans="4:6" ht="12.5" x14ac:dyDescent="0.25">
      <c r="D799" s="80"/>
      <c r="E799" s="81"/>
      <c r="F799" s="81"/>
    </row>
    <row r="800" spans="4:6" ht="12.5" x14ac:dyDescent="0.25">
      <c r="D800" s="80"/>
      <c r="E800" s="81"/>
      <c r="F800" s="81"/>
    </row>
    <row r="801" spans="4:6" ht="12.5" x14ac:dyDescent="0.25">
      <c r="D801" s="80"/>
      <c r="E801" s="81"/>
      <c r="F801" s="81"/>
    </row>
    <row r="802" spans="4:6" ht="12.5" x14ac:dyDescent="0.25">
      <c r="D802" s="80"/>
      <c r="E802" s="81"/>
      <c r="F802" s="81"/>
    </row>
    <row r="803" spans="4:6" ht="12.5" x14ac:dyDescent="0.25">
      <c r="D803" s="80"/>
      <c r="E803" s="81"/>
      <c r="F803" s="81"/>
    </row>
    <row r="804" spans="4:6" ht="12.5" x14ac:dyDescent="0.25">
      <c r="D804" s="80"/>
      <c r="E804" s="81"/>
      <c r="F804" s="81"/>
    </row>
    <row r="805" spans="4:6" ht="12.5" x14ac:dyDescent="0.25">
      <c r="D805" s="80"/>
      <c r="E805" s="81"/>
      <c r="F805" s="81"/>
    </row>
    <row r="806" spans="4:6" ht="12.5" x14ac:dyDescent="0.25">
      <c r="D806" s="80"/>
      <c r="E806" s="81"/>
      <c r="F806" s="81"/>
    </row>
    <row r="807" spans="4:6" ht="12.5" x14ac:dyDescent="0.25">
      <c r="D807" s="80"/>
      <c r="E807" s="81"/>
      <c r="F807" s="81"/>
    </row>
    <row r="808" spans="4:6" ht="12.5" x14ac:dyDescent="0.25">
      <c r="D808" s="80"/>
      <c r="E808" s="81"/>
      <c r="F808" s="81"/>
    </row>
    <row r="809" spans="4:6" ht="12.5" x14ac:dyDescent="0.25">
      <c r="D809" s="80"/>
      <c r="E809" s="81"/>
      <c r="F809" s="81"/>
    </row>
    <row r="810" spans="4:6" ht="12.5" x14ac:dyDescent="0.25">
      <c r="D810" s="80"/>
      <c r="E810" s="81"/>
      <c r="F810" s="81"/>
    </row>
    <row r="811" spans="4:6" ht="12.5" x14ac:dyDescent="0.25">
      <c r="D811" s="80"/>
      <c r="E811" s="81"/>
      <c r="F811" s="81"/>
    </row>
    <row r="812" spans="4:6" ht="12.5" x14ac:dyDescent="0.25">
      <c r="D812" s="80"/>
      <c r="E812" s="81"/>
      <c r="F812" s="81"/>
    </row>
    <row r="813" spans="4:6" ht="12.5" x14ac:dyDescent="0.25">
      <c r="D813" s="80"/>
      <c r="E813" s="81"/>
      <c r="F813" s="81"/>
    </row>
    <row r="814" spans="4:6" ht="12.5" x14ac:dyDescent="0.25">
      <c r="D814" s="80"/>
      <c r="E814" s="81"/>
      <c r="F814" s="81"/>
    </row>
    <row r="815" spans="4:6" ht="12.5" x14ac:dyDescent="0.25">
      <c r="D815" s="80"/>
      <c r="E815" s="81"/>
      <c r="F815" s="81"/>
    </row>
    <row r="816" spans="4:6" ht="12.5" x14ac:dyDescent="0.25">
      <c r="D816" s="80"/>
      <c r="E816" s="81"/>
      <c r="F816" s="81"/>
    </row>
    <row r="817" spans="4:6" ht="12.5" x14ac:dyDescent="0.25">
      <c r="D817" s="80"/>
      <c r="E817" s="81"/>
      <c r="F817" s="81"/>
    </row>
    <row r="818" spans="4:6" ht="12.5" x14ac:dyDescent="0.25">
      <c r="D818" s="80"/>
      <c r="E818" s="81"/>
      <c r="F818" s="81"/>
    </row>
    <row r="819" spans="4:6" ht="12.5" x14ac:dyDescent="0.25">
      <c r="D819" s="80"/>
      <c r="E819" s="81"/>
      <c r="F819" s="81"/>
    </row>
    <row r="820" spans="4:6" ht="12.5" x14ac:dyDescent="0.25">
      <c r="D820" s="80"/>
      <c r="E820" s="81"/>
      <c r="F820" s="81"/>
    </row>
    <row r="821" spans="4:6" ht="12.5" x14ac:dyDescent="0.25">
      <c r="D821" s="80"/>
      <c r="E821" s="81"/>
      <c r="F821" s="81"/>
    </row>
    <row r="822" spans="4:6" ht="12.5" x14ac:dyDescent="0.25">
      <c r="D822" s="80"/>
      <c r="E822" s="81"/>
      <c r="F822" s="81"/>
    </row>
    <row r="823" spans="4:6" ht="12.5" x14ac:dyDescent="0.25">
      <c r="D823" s="80"/>
      <c r="E823" s="81"/>
      <c r="F823" s="81"/>
    </row>
    <row r="824" spans="4:6" ht="12.5" x14ac:dyDescent="0.25">
      <c r="D824" s="80"/>
      <c r="E824" s="81"/>
      <c r="F824" s="81"/>
    </row>
    <row r="825" spans="4:6" ht="12.5" x14ac:dyDescent="0.25">
      <c r="D825" s="80"/>
      <c r="E825" s="81"/>
      <c r="F825" s="81"/>
    </row>
    <row r="826" spans="4:6" ht="12.5" x14ac:dyDescent="0.25">
      <c r="D826" s="80"/>
      <c r="E826" s="81"/>
      <c r="F826" s="81"/>
    </row>
    <row r="827" spans="4:6" ht="12.5" x14ac:dyDescent="0.25">
      <c r="D827" s="80"/>
      <c r="E827" s="81"/>
      <c r="F827" s="81"/>
    </row>
    <row r="828" spans="4:6" ht="12.5" x14ac:dyDescent="0.25">
      <c r="D828" s="80"/>
      <c r="E828" s="81"/>
      <c r="F828" s="81"/>
    </row>
    <row r="829" spans="4:6" ht="12.5" x14ac:dyDescent="0.25">
      <c r="D829" s="80"/>
      <c r="E829" s="81"/>
      <c r="F829" s="81"/>
    </row>
    <row r="830" spans="4:6" ht="12.5" x14ac:dyDescent="0.25">
      <c r="D830" s="80"/>
      <c r="E830" s="81"/>
      <c r="F830" s="81"/>
    </row>
    <row r="831" spans="4:6" ht="12.5" x14ac:dyDescent="0.25">
      <c r="D831" s="80"/>
      <c r="E831" s="81"/>
      <c r="F831" s="81"/>
    </row>
    <row r="832" spans="4:6" ht="12.5" x14ac:dyDescent="0.25">
      <c r="D832" s="80"/>
      <c r="E832" s="81"/>
      <c r="F832" s="81"/>
    </row>
    <row r="833" spans="4:6" ht="12.5" x14ac:dyDescent="0.25">
      <c r="D833" s="80"/>
      <c r="E833" s="81"/>
      <c r="F833" s="81"/>
    </row>
    <row r="834" spans="4:6" ht="12.5" x14ac:dyDescent="0.25">
      <c r="D834" s="80"/>
      <c r="E834" s="81"/>
      <c r="F834" s="81"/>
    </row>
    <row r="835" spans="4:6" ht="12.5" x14ac:dyDescent="0.25">
      <c r="D835" s="80"/>
      <c r="E835" s="81"/>
      <c r="F835" s="81"/>
    </row>
    <row r="836" spans="4:6" ht="12.5" x14ac:dyDescent="0.25">
      <c r="D836" s="80"/>
      <c r="E836" s="81"/>
      <c r="F836" s="81"/>
    </row>
    <row r="837" spans="4:6" ht="12.5" x14ac:dyDescent="0.25">
      <c r="D837" s="80"/>
      <c r="E837" s="81"/>
      <c r="F837" s="81"/>
    </row>
    <row r="838" spans="4:6" ht="12.5" x14ac:dyDescent="0.25">
      <c r="D838" s="80"/>
      <c r="E838" s="81"/>
      <c r="F838" s="81"/>
    </row>
    <row r="839" spans="4:6" ht="12.5" x14ac:dyDescent="0.25">
      <c r="D839" s="80"/>
      <c r="E839" s="81"/>
      <c r="F839" s="81"/>
    </row>
    <row r="840" spans="4:6" ht="12.5" x14ac:dyDescent="0.25">
      <c r="D840" s="80"/>
      <c r="E840" s="81"/>
      <c r="F840" s="81"/>
    </row>
    <row r="841" spans="4:6" ht="12.5" x14ac:dyDescent="0.25">
      <c r="D841" s="80"/>
      <c r="E841" s="81"/>
      <c r="F841" s="81"/>
    </row>
    <row r="842" spans="4:6" ht="12.5" x14ac:dyDescent="0.25">
      <c r="D842" s="80"/>
      <c r="E842" s="81"/>
      <c r="F842" s="81"/>
    </row>
    <row r="843" spans="4:6" ht="12.5" x14ac:dyDescent="0.25">
      <c r="D843" s="80"/>
      <c r="E843" s="81"/>
      <c r="F843" s="81"/>
    </row>
    <row r="844" spans="4:6" ht="12.5" x14ac:dyDescent="0.25">
      <c r="D844" s="80"/>
      <c r="E844" s="81"/>
      <c r="F844" s="81"/>
    </row>
    <row r="845" spans="4:6" ht="12.5" x14ac:dyDescent="0.25">
      <c r="D845" s="80"/>
      <c r="E845" s="81"/>
      <c r="F845" s="81"/>
    </row>
    <row r="846" spans="4:6" ht="12.5" x14ac:dyDescent="0.25">
      <c r="D846" s="80"/>
      <c r="E846" s="81"/>
      <c r="F846" s="81"/>
    </row>
    <row r="847" spans="4:6" ht="12.5" x14ac:dyDescent="0.25">
      <c r="D847" s="80"/>
      <c r="E847" s="81"/>
      <c r="F847" s="81"/>
    </row>
    <row r="848" spans="4:6" ht="12.5" x14ac:dyDescent="0.25">
      <c r="D848" s="80"/>
      <c r="E848" s="81"/>
      <c r="F848" s="81"/>
    </row>
    <row r="849" spans="4:6" ht="12.5" x14ac:dyDescent="0.25">
      <c r="D849" s="80"/>
      <c r="E849" s="81"/>
      <c r="F849" s="81"/>
    </row>
    <row r="850" spans="4:6" ht="12.5" x14ac:dyDescent="0.25">
      <c r="D850" s="80"/>
      <c r="E850" s="81"/>
      <c r="F850" s="81"/>
    </row>
    <row r="851" spans="4:6" ht="12.5" x14ac:dyDescent="0.25">
      <c r="D851" s="80"/>
      <c r="E851" s="81"/>
      <c r="F851" s="81"/>
    </row>
    <row r="852" spans="4:6" ht="12.5" x14ac:dyDescent="0.25">
      <c r="D852" s="80"/>
      <c r="E852" s="81"/>
      <c r="F852" s="81"/>
    </row>
    <row r="853" spans="4:6" ht="12.5" x14ac:dyDescent="0.25">
      <c r="D853" s="80"/>
      <c r="E853" s="81"/>
      <c r="F853" s="81"/>
    </row>
    <row r="854" spans="4:6" ht="12.5" x14ac:dyDescent="0.25">
      <c r="D854" s="80"/>
      <c r="E854" s="81"/>
      <c r="F854" s="81"/>
    </row>
    <row r="855" spans="4:6" ht="12.5" x14ac:dyDescent="0.25">
      <c r="D855" s="80"/>
      <c r="E855" s="81"/>
      <c r="F855" s="81"/>
    </row>
    <row r="856" spans="4:6" ht="12.5" x14ac:dyDescent="0.25">
      <c r="D856" s="80"/>
      <c r="E856" s="81"/>
      <c r="F856" s="81"/>
    </row>
    <row r="857" spans="4:6" ht="12.5" x14ac:dyDescent="0.25">
      <c r="D857" s="80"/>
      <c r="E857" s="81"/>
      <c r="F857" s="81"/>
    </row>
    <row r="858" spans="4:6" ht="12.5" x14ac:dyDescent="0.25">
      <c r="D858" s="80"/>
      <c r="E858" s="81"/>
      <c r="F858" s="81"/>
    </row>
    <row r="859" spans="4:6" ht="12.5" x14ac:dyDescent="0.25">
      <c r="D859" s="80"/>
      <c r="E859" s="81"/>
      <c r="F859" s="81"/>
    </row>
    <row r="860" spans="4:6" ht="12.5" x14ac:dyDescent="0.25">
      <c r="D860" s="80"/>
      <c r="E860" s="81"/>
      <c r="F860" s="81"/>
    </row>
    <row r="861" spans="4:6" ht="12.5" x14ac:dyDescent="0.25">
      <c r="D861" s="80"/>
      <c r="E861" s="81"/>
      <c r="F861" s="81"/>
    </row>
    <row r="862" spans="4:6" ht="12.5" x14ac:dyDescent="0.25">
      <c r="D862" s="80"/>
      <c r="E862" s="81"/>
      <c r="F862" s="81"/>
    </row>
    <row r="863" spans="4:6" ht="12.5" x14ac:dyDescent="0.25">
      <c r="D863" s="80"/>
      <c r="E863" s="81"/>
      <c r="F863" s="81"/>
    </row>
    <row r="864" spans="4:6" ht="12.5" x14ac:dyDescent="0.25">
      <c r="D864" s="80"/>
      <c r="E864" s="81"/>
      <c r="F864" s="81"/>
    </row>
    <row r="865" spans="4:6" ht="12.5" x14ac:dyDescent="0.25">
      <c r="D865" s="80"/>
      <c r="E865" s="81"/>
      <c r="F865" s="81"/>
    </row>
    <row r="866" spans="4:6" ht="12.5" x14ac:dyDescent="0.25">
      <c r="D866" s="80"/>
      <c r="E866" s="81"/>
      <c r="F866" s="81"/>
    </row>
    <row r="867" spans="4:6" ht="12.5" x14ac:dyDescent="0.25">
      <c r="D867" s="80"/>
      <c r="E867" s="81"/>
      <c r="F867" s="81"/>
    </row>
    <row r="868" spans="4:6" ht="12.5" x14ac:dyDescent="0.25">
      <c r="D868" s="80"/>
      <c r="E868" s="81"/>
      <c r="F868" s="81"/>
    </row>
    <row r="869" spans="4:6" ht="12.5" x14ac:dyDescent="0.25">
      <c r="D869" s="80"/>
      <c r="E869" s="81"/>
      <c r="F869" s="81"/>
    </row>
    <row r="870" spans="4:6" ht="12.5" x14ac:dyDescent="0.25">
      <c r="D870" s="80"/>
      <c r="E870" s="81"/>
      <c r="F870" s="81"/>
    </row>
    <row r="871" spans="4:6" ht="12.5" x14ac:dyDescent="0.25">
      <c r="D871" s="80"/>
      <c r="E871" s="81"/>
      <c r="F871" s="81"/>
    </row>
    <row r="872" spans="4:6" ht="12.5" x14ac:dyDescent="0.25">
      <c r="D872" s="80"/>
      <c r="E872" s="81"/>
      <c r="F872" s="81"/>
    </row>
    <row r="873" spans="4:6" ht="12.5" x14ac:dyDescent="0.25">
      <c r="D873" s="80"/>
      <c r="E873" s="81"/>
      <c r="F873" s="81"/>
    </row>
    <row r="874" spans="4:6" ht="12.5" x14ac:dyDescent="0.25">
      <c r="D874" s="80"/>
      <c r="E874" s="81"/>
      <c r="F874" s="81"/>
    </row>
    <row r="875" spans="4:6" ht="12.5" x14ac:dyDescent="0.25">
      <c r="D875" s="80"/>
      <c r="E875" s="81"/>
      <c r="F875" s="81"/>
    </row>
    <row r="876" spans="4:6" ht="12.5" x14ac:dyDescent="0.25">
      <c r="D876" s="80"/>
      <c r="E876" s="81"/>
      <c r="F876" s="81"/>
    </row>
    <row r="877" spans="4:6" ht="12.5" x14ac:dyDescent="0.25">
      <c r="D877" s="80"/>
      <c r="E877" s="81"/>
      <c r="F877" s="81"/>
    </row>
    <row r="878" spans="4:6" ht="12.5" x14ac:dyDescent="0.25">
      <c r="D878" s="80"/>
      <c r="E878" s="81"/>
      <c r="F878" s="81"/>
    </row>
    <row r="879" spans="4:6" ht="12.5" x14ac:dyDescent="0.25">
      <c r="D879" s="80"/>
      <c r="E879" s="81"/>
      <c r="F879" s="81"/>
    </row>
    <row r="880" spans="4:6" ht="12.5" x14ac:dyDescent="0.25">
      <c r="D880" s="80"/>
      <c r="E880" s="81"/>
      <c r="F880" s="81"/>
    </row>
    <row r="881" spans="4:6" ht="12.5" x14ac:dyDescent="0.25">
      <c r="D881" s="80"/>
      <c r="E881" s="81"/>
      <c r="F881" s="81"/>
    </row>
    <row r="882" spans="4:6" ht="12.5" x14ac:dyDescent="0.25">
      <c r="D882" s="80"/>
      <c r="E882" s="81"/>
      <c r="F882" s="81"/>
    </row>
    <row r="883" spans="4:6" ht="12.5" x14ac:dyDescent="0.25">
      <c r="D883" s="80"/>
      <c r="E883" s="81"/>
      <c r="F883" s="81"/>
    </row>
    <row r="884" spans="4:6" ht="12.5" x14ac:dyDescent="0.25">
      <c r="D884" s="80"/>
      <c r="E884" s="81"/>
      <c r="F884" s="81"/>
    </row>
    <row r="885" spans="4:6" ht="12.5" x14ac:dyDescent="0.25">
      <c r="D885" s="80"/>
      <c r="E885" s="81"/>
      <c r="F885" s="81"/>
    </row>
    <row r="886" spans="4:6" ht="12.5" x14ac:dyDescent="0.25">
      <c r="D886" s="80"/>
      <c r="E886" s="81"/>
      <c r="F886" s="81"/>
    </row>
    <row r="887" spans="4:6" ht="12.5" x14ac:dyDescent="0.25">
      <c r="D887" s="80"/>
      <c r="E887" s="81"/>
      <c r="F887" s="81"/>
    </row>
    <row r="888" spans="4:6" ht="12.5" x14ac:dyDescent="0.25">
      <c r="D888" s="80"/>
      <c r="E888" s="81"/>
      <c r="F888" s="81"/>
    </row>
    <row r="889" spans="4:6" ht="12.5" x14ac:dyDescent="0.25">
      <c r="D889" s="80"/>
      <c r="E889" s="81"/>
      <c r="F889" s="81"/>
    </row>
    <row r="890" spans="4:6" ht="12.5" x14ac:dyDescent="0.25">
      <c r="D890" s="80"/>
      <c r="E890" s="81"/>
      <c r="F890" s="81"/>
    </row>
    <row r="891" spans="4:6" ht="12.5" x14ac:dyDescent="0.25">
      <c r="D891" s="80"/>
      <c r="E891" s="81"/>
      <c r="F891" s="81"/>
    </row>
    <row r="892" spans="4:6" ht="12.5" x14ac:dyDescent="0.25">
      <c r="D892" s="80"/>
      <c r="E892" s="81"/>
      <c r="F892" s="81"/>
    </row>
    <row r="893" spans="4:6" ht="12.5" x14ac:dyDescent="0.25">
      <c r="D893" s="80"/>
      <c r="E893" s="81"/>
      <c r="F893" s="81"/>
    </row>
    <row r="894" spans="4:6" ht="12.5" x14ac:dyDescent="0.25">
      <c r="D894" s="80"/>
      <c r="E894" s="81"/>
      <c r="F894" s="81"/>
    </row>
    <row r="895" spans="4:6" ht="12.5" x14ac:dyDescent="0.25">
      <c r="D895" s="80"/>
      <c r="E895" s="81"/>
      <c r="F895" s="81"/>
    </row>
    <row r="896" spans="4:6" ht="12.5" x14ac:dyDescent="0.25">
      <c r="D896" s="80"/>
      <c r="E896" s="81"/>
      <c r="F896" s="81"/>
    </row>
    <row r="897" spans="4:6" ht="12.5" x14ac:dyDescent="0.25">
      <c r="D897" s="80"/>
      <c r="E897" s="81"/>
      <c r="F897" s="81"/>
    </row>
    <row r="898" spans="4:6" ht="12.5" x14ac:dyDescent="0.25">
      <c r="D898" s="80"/>
      <c r="E898" s="81"/>
      <c r="F898" s="81"/>
    </row>
    <row r="899" spans="4:6" ht="12.5" x14ac:dyDescent="0.25">
      <c r="D899" s="80"/>
      <c r="E899" s="81"/>
      <c r="F899" s="81"/>
    </row>
    <row r="900" spans="4:6" ht="12.5" x14ac:dyDescent="0.25">
      <c r="D900" s="80"/>
      <c r="E900" s="81"/>
      <c r="F900" s="81"/>
    </row>
    <row r="901" spans="4:6" ht="12.5" x14ac:dyDescent="0.25">
      <c r="D901" s="80"/>
      <c r="E901" s="81"/>
      <c r="F901" s="81"/>
    </row>
    <row r="902" spans="4:6" ht="12.5" x14ac:dyDescent="0.25">
      <c r="D902" s="80"/>
      <c r="E902" s="81"/>
      <c r="F902" s="81"/>
    </row>
    <row r="903" spans="4:6" ht="12.5" x14ac:dyDescent="0.25">
      <c r="D903" s="80"/>
      <c r="E903" s="81"/>
      <c r="F903" s="81"/>
    </row>
    <row r="904" spans="4:6" ht="12.5" x14ac:dyDescent="0.25">
      <c r="D904" s="80"/>
      <c r="E904" s="81"/>
      <c r="F904" s="81"/>
    </row>
    <row r="905" spans="4:6" ht="12.5" x14ac:dyDescent="0.25">
      <c r="D905" s="80"/>
      <c r="E905" s="81"/>
      <c r="F905" s="81"/>
    </row>
    <row r="906" spans="4:6" ht="12.5" x14ac:dyDescent="0.25">
      <c r="D906" s="80"/>
      <c r="E906" s="81"/>
      <c r="F906" s="81"/>
    </row>
    <row r="907" spans="4:6" ht="12.5" x14ac:dyDescent="0.25">
      <c r="D907" s="80"/>
      <c r="E907" s="81"/>
      <c r="F907" s="81"/>
    </row>
    <row r="908" spans="4:6" ht="12.5" x14ac:dyDescent="0.25">
      <c r="D908" s="80"/>
      <c r="E908" s="81"/>
      <c r="F908" s="81"/>
    </row>
    <row r="909" spans="4:6" ht="12.5" x14ac:dyDescent="0.25">
      <c r="D909" s="80"/>
      <c r="E909" s="81"/>
      <c r="F909" s="81"/>
    </row>
    <row r="910" spans="4:6" ht="12.5" x14ac:dyDescent="0.25">
      <c r="D910" s="80"/>
      <c r="E910" s="81"/>
      <c r="F910" s="81"/>
    </row>
    <row r="911" spans="4:6" ht="12.5" x14ac:dyDescent="0.25">
      <c r="D911" s="80"/>
      <c r="E911" s="81"/>
      <c r="F911" s="81"/>
    </row>
    <row r="912" spans="4:6" ht="12.5" x14ac:dyDescent="0.25">
      <c r="D912" s="80"/>
      <c r="E912" s="81"/>
      <c r="F912" s="81"/>
    </row>
    <row r="913" spans="4:6" ht="12.5" x14ac:dyDescent="0.25">
      <c r="D913" s="80"/>
      <c r="E913" s="81"/>
      <c r="F913" s="81"/>
    </row>
    <row r="914" spans="4:6" ht="12.5" x14ac:dyDescent="0.25">
      <c r="D914" s="80"/>
      <c r="E914" s="81"/>
      <c r="F914" s="81"/>
    </row>
    <row r="915" spans="4:6" ht="12.5" x14ac:dyDescent="0.25">
      <c r="D915" s="80"/>
      <c r="E915" s="81"/>
      <c r="F915" s="81"/>
    </row>
    <row r="916" spans="4:6" ht="12.5" x14ac:dyDescent="0.25">
      <c r="D916" s="80"/>
      <c r="E916" s="81"/>
      <c r="F916" s="81"/>
    </row>
    <row r="917" spans="4:6" ht="12.5" x14ac:dyDescent="0.25">
      <c r="D917" s="80"/>
      <c r="E917" s="81"/>
      <c r="F917" s="81"/>
    </row>
    <row r="918" spans="4:6" ht="12.5" x14ac:dyDescent="0.25">
      <c r="D918" s="80"/>
      <c r="E918" s="81"/>
      <c r="F918" s="81"/>
    </row>
    <row r="919" spans="4:6" ht="12.5" x14ac:dyDescent="0.25">
      <c r="D919" s="80"/>
      <c r="E919" s="81"/>
      <c r="F919" s="81"/>
    </row>
    <row r="920" spans="4:6" ht="12.5" x14ac:dyDescent="0.25">
      <c r="D920" s="80"/>
      <c r="E920" s="81"/>
      <c r="F920" s="81"/>
    </row>
    <row r="921" spans="4:6" ht="12.5" x14ac:dyDescent="0.25">
      <c r="D921" s="80"/>
      <c r="E921" s="81"/>
      <c r="F921" s="81"/>
    </row>
    <row r="922" spans="4:6" ht="12.5" x14ac:dyDescent="0.25">
      <c r="D922" s="80"/>
      <c r="E922" s="81"/>
      <c r="F922" s="81"/>
    </row>
    <row r="923" spans="4:6" ht="12.5" x14ac:dyDescent="0.25">
      <c r="D923" s="80"/>
      <c r="E923" s="81"/>
      <c r="F923" s="81"/>
    </row>
    <row r="924" spans="4:6" ht="12.5" x14ac:dyDescent="0.25">
      <c r="D924" s="80"/>
      <c r="E924" s="81"/>
      <c r="F924" s="81"/>
    </row>
    <row r="925" spans="4:6" ht="12.5" x14ac:dyDescent="0.25">
      <c r="D925" s="80"/>
      <c r="E925" s="81"/>
      <c r="F925" s="81"/>
    </row>
    <row r="926" spans="4:6" ht="12.5" x14ac:dyDescent="0.25">
      <c r="D926" s="80"/>
      <c r="E926" s="81"/>
      <c r="F926" s="81"/>
    </row>
    <row r="927" spans="4:6" ht="12.5" x14ac:dyDescent="0.25">
      <c r="D927" s="80"/>
      <c r="E927" s="81"/>
      <c r="F927" s="81"/>
    </row>
    <row r="928" spans="4:6" ht="12.5" x14ac:dyDescent="0.25">
      <c r="D928" s="80"/>
      <c r="E928" s="81"/>
      <c r="F928" s="81"/>
    </row>
    <row r="929" spans="4:6" ht="12.5" x14ac:dyDescent="0.25">
      <c r="D929" s="80"/>
      <c r="E929" s="81"/>
      <c r="F929" s="81"/>
    </row>
    <row r="930" spans="4:6" ht="12.5" x14ac:dyDescent="0.25">
      <c r="D930" s="80"/>
      <c r="E930" s="81"/>
      <c r="F930" s="81"/>
    </row>
    <row r="931" spans="4:6" ht="12.5" x14ac:dyDescent="0.25">
      <c r="D931" s="80"/>
      <c r="E931" s="81"/>
      <c r="F931" s="81"/>
    </row>
    <row r="932" spans="4:6" ht="12.5" x14ac:dyDescent="0.25">
      <c r="D932" s="80"/>
      <c r="E932" s="81"/>
      <c r="F932" s="81"/>
    </row>
    <row r="933" spans="4:6" ht="12.5" x14ac:dyDescent="0.25">
      <c r="D933" s="80"/>
      <c r="E933" s="81"/>
      <c r="F933" s="81"/>
    </row>
    <row r="934" spans="4:6" ht="12.5" x14ac:dyDescent="0.25">
      <c r="D934" s="80"/>
      <c r="E934" s="81"/>
      <c r="F934" s="81"/>
    </row>
    <row r="935" spans="4:6" ht="12.5" x14ac:dyDescent="0.25">
      <c r="D935" s="80"/>
      <c r="E935" s="81"/>
      <c r="F935" s="81"/>
    </row>
    <row r="936" spans="4:6" ht="12.5" x14ac:dyDescent="0.25">
      <c r="D936" s="80"/>
      <c r="E936" s="81"/>
      <c r="F936" s="81"/>
    </row>
    <row r="937" spans="4:6" ht="12.5" x14ac:dyDescent="0.25">
      <c r="D937" s="80"/>
      <c r="E937" s="81"/>
      <c r="F937" s="81"/>
    </row>
    <row r="938" spans="4:6" ht="12.5" x14ac:dyDescent="0.25">
      <c r="D938" s="80"/>
      <c r="E938" s="81"/>
      <c r="F938" s="81"/>
    </row>
    <row r="939" spans="4:6" ht="12.5" x14ac:dyDescent="0.25">
      <c r="D939" s="80"/>
      <c r="E939" s="81"/>
      <c r="F939" s="81"/>
    </row>
    <row r="940" spans="4:6" ht="12.5" x14ac:dyDescent="0.25">
      <c r="D940" s="80"/>
      <c r="E940" s="81"/>
      <c r="F940" s="81"/>
    </row>
    <row r="941" spans="4:6" ht="12.5" x14ac:dyDescent="0.25">
      <c r="D941" s="80"/>
      <c r="E941" s="81"/>
      <c r="F941" s="81"/>
    </row>
    <row r="942" spans="4:6" ht="12.5" x14ac:dyDescent="0.25">
      <c r="D942" s="80"/>
      <c r="E942" s="81"/>
      <c r="F942" s="81"/>
    </row>
    <row r="943" spans="4:6" ht="12.5" x14ac:dyDescent="0.25">
      <c r="D943" s="80"/>
      <c r="E943" s="81"/>
      <c r="F943" s="81"/>
    </row>
    <row r="944" spans="4:6" ht="12.5" x14ac:dyDescent="0.25">
      <c r="D944" s="80"/>
      <c r="E944" s="81"/>
      <c r="F944" s="81"/>
    </row>
    <row r="945" spans="4:6" ht="12.5" x14ac:dyDescent="0.25">
      <c r="D945" s="80"/>
      <c r="E945" s="81"/>
      <c r="F945" s="81"/>
    </row>
    <row r="946" spans="4:6" ht="12.5" x14ac:dyDescent="0.25">
      <c r="D946" s="80"/>
      <c r="E946" s="81"/>
      <c r="F946" s="81"/>
    </row>
    <row r="947" spans="4:6" ht="12.5" x14ac:dyDescent="0.25">
      <c r="D947" s="80"/>
      <c r="E947" s="81"/>
      <c r="F947" s="81"/>
    </row>
    <row r="948" spans="4:6" ht="12.5" x14ac:dyDescent="0.25">
      <c r="D948" s="80"/>
      <c r="E948" s="81"/>
      <c r="F948" s="81"/>
    </row>
    <row r="949" spans="4:6" ht="12.5" x14ac:dyDescent="0.25">
      <c r="D949" s="80"/>
      <c r="E949" s="81"/>
      <c r="F949" s="81"/>
    </row>
    <row r="950" spans="4:6" ht="12.5" x14ac:dyDescent="0.25">
      <c r="D950" s="80"/>
      <c r="E950" s="81"/>
      <c r="F950" s="81"/>
    </row>
    <row r="951" spans="4:6" ht="12.5" x14ac:dyDescent="0.25">
      <c r="D951" s="80"/>
      <c r="E951" s="81"/>
      <c r="F951" s="81"/>
    </row>
    <row r="952" spans="4:6" ht="12.5" x14ac:dyDescent="0.25">
      <c r="D952" s="80"/>
      <c r="E952" s="81"/>
      <c r="F952" s="81"/>
    </row>
    <row r="953" spans="4:6" ht="12.5" x14ac:dyDescent="0.25">
      <c r="D953" s="80"/>
      <c r="E953" s="81"/>
      <c r="F953" s="81"/>
    </row>
    <row r="954" spans="4:6" ht="12.5" x14ac:dyDescent="0.25">
      <c r="D954" s="80"/>
      <c r="E954" s="81"/>
      <c r="F954" s="81"/>
    </row>
    <row r="955" spans="4:6" ht="12.5" x14ac:dyDescent="0.25">
      <c r="D955" s="80"/>
      <c r="E955" s="81"/>
      <c r="F955" s="81"/>
    </row>
    <row r="956" spans="4:6" ht="12.5" x14ac:dyDescent="0.25">
      <c r="D956" s="80"/>
      <c r="E956" s="81"/>
      <c r="F956" s="81"/>
    </row>
    <row r="957" spans="4:6" ht="12.5" x14ac:dyDescent="0.25">
      <c r="D957" s="80"/>
      <c r="E957" s="81"/>
      <c r="F957" s="81"/>
    </row>
    <row r="958" spans="4:6" ht="12.5" x14ac:dyDescent="0.25">
      <c r="D958" s="80"/>
      <c r="E958" s="81"/>
      <c r="F958" s="81"/>
    </row>
    <row r="959" spans="4:6" ht="12.5" x14ac:dyDescent="0.25">
      <c r="D959" s="80"/>
      <c r="E959" s="81"/>
      <c r="F959" s="81"/>
    </row>
    <row r="960" spans="4:6" ht="12.5" x14ac:dyDescent="0.25">
      <c r="D960" s="80"/>
      <c r="E960" s="81"/>
      <c r="F960" s="81"/>
    </row>
    <row r="961" spans="4:6" ht="12.5" x14ac:dyDescent="0.25">
      <c r="D961" s="80"/>
      <c r="E961" s="81"/>
      <c r="F961" s="81"/>
    </row>
    <row r="962" spans="4:6" ht="12.5" x14ac:dyDescent="0.25">
      <c r="D962" s="80"/>
      <c r="E962" s="81"/>
      <c r="F962" s="81"/>
    </row>
    <row r="963" spans="4:6" ht="12.5" x14ac:dyDescent="0.25">
      <c r="D963" s="80"/>
      <c r="E963" s="81"/>
      <c r="F963" s="81"/>
    </row>
    <row r="964" spans="4:6" ht="12.5" x14ac:dyDescent="0.25">
      <c r="D964" s="80"/>
      <c r="E964" s="81"/>
      <c r="F964" s="81"/>
    </row>
    <row r="965" spans="4:6" ht="12.5" x14ac:dyDescent="0.25">
      <c r="D965" s="80"/>
      <c r="E965" s="81"/>
      <c r="F965" s="81"/>
    </row>
    <row r="966" spans="4:6" ht="12.5" x14ac:dyDescent="0.25">
      <c r="D966" s="80"/>
      <c r="E966" s="81"/>
      <c r="F966" s="81"/>
    </row>
    <row r="967" spans="4:6" ht="12.5" x14ac:dyDescent="0.25">
      <c r="D967" s="80"/>
      <c r="E967" s="81"/>
      <c r="F967" s="81"/>
    </row>
    <row r="968" spans="4:6" ht="12.5" x14ac:dyDescent="0.25">
      <c r="D968" s="80"/>
      <c r="E968" s="81"/>
      <c r="F968" s="81"/>
    </row>
    <row r="969" spans="4:6" ht="12.5" x14ac:dyDescent="0.25">
      <c r="D969" s="80"/>
      <c r="E969" s="81"/>
      <c r="F969" s="81"/>
    </row>
    <row r="970" spans="4:6" ht="12.5" x14ac:dyDescent="0.25">
      <c r="D970" s="80"/>
      <c r="E970" s="81"/>
      <c r="F970" s="81"/>
    </row>
    <row r="971" spans="4:6" ht="12.5" x14ac:dyDescent="0.25">
      <c r="D971" s="80"/>
      <c r="E971" s="81"/>
      <c r="F971" s="81"/>
    </row>
    <row r="972" spans="4:6" ht="12.5" x14ac:dyDescent="0.25">
      <c r="D972" s="80"/>
      <c r="E972" s="81"/>
      <c r="F972" s="81"/>
    </row>
    <row r="973" spans="4:6" ht="12.5" x14ac:dyDescent="0.25">
      <c r="D973" s="80"/>
      <c r="E973" s="81"/>
      <c r="F973" s="81"/>
    </row>
    <row r="974" spans="4:6" ht="12.5" x14ac:dyDescent="0.25">
      <c r="D974" s="80"/>
      <c r="E974" s="81"/>
      <c r="F974" s="81"/>
    </row>
    <row r="975" spans="4:6" ht="12.5" x14ac:dyDescent="0.25">
      <c r="D975" s="80"/>
      <c r="E975" s="81"/>
      <c r="F975" s="81"/>
    </row>
    <row r="976" spans="4:6" ht="12.5" x14ac:dyDescent="0.25">
      <c r="D976" s="80"/>
      <c r="E976" s="81"/>
      <c r="F976" s="81"/>
    </row>
    <row r="977" spans="4:6" ht="12.5" x14ac:dyDescent="0.25">
      <c r="D977" s="80"/>
      <c r="E977" s="81"/>
      <c r="F977" s="81"/>
    </row>
    <row r="978" spans="4:6" ht="12.5" x14ac:dyDescent="0.25">
      <c r="D978" s="80"/>
      <c r="E978" s="81"/>
      <c r="F978" s="81"/>
    </row>
    <row r="979" spans="4:6" ht="12.5" x14ac:dyDescent="0.25">
      <c r="D979" s="80"/>
      <c r="E979" s="81"/>
      <c r="F979" s="81"/>
    </row>
    <row r="980" spans="4:6" ht="12.5" x14ac:dyDescent="0.25">
      <c r="D980" s="80"/>
      <c r="E980" s="81"/>
      <c r="F980" s="81"/>
    </row>
    <row r="981" spans="4:6" ht="12.5" x14ac:dyDescent="0.25">
      <c r="D981" s="80"/>
      <c r="E981" s="81"/>
      <c r="F981" s="81"/>
    </row>
    <row r="982" spans="4:6" ht="12.5" x14ac:dyDescent="0.25">
      <c r="D982" s="80"/>
      <c r="E982" s="81"/>
      <c r="F982" s="81"/>
    </row>
    <row r="983" spans="4:6" ht="12.5" x14ac:dyDescent="0.25">
      <c r="D983" s="80"/>
      <c r="E983" s="81"/>
      <c r="F983" s="81"/>
    </row>
    <row r="984" spans="4:6" ht="12.5" x14ac:dyDescent="0.25">
      <c r="D984" s="80"/>
      <c r="E984" s="81"/>
      <c r="F984" s="81"/>
    </row>
    <row r="985" spans="4:6" ht="12.5" x14ac:dyDescent="0.25">
      <c r="D985" s="80"/>
      <c r="E985" s="81"/>
      <c r="F985" s="81"/>
    </row>
    <row r="986" spans="4:6" ht="12.5" x14ac:dyDescent="0.25">
      <c r="D986" s="80"/>
      <c r="E986" s="81"/>
      <c r="F986" s="81"/>
    </row>
    <row r="987" spans="4:6" ht="12.5" x14ac:dyDescent="0.25">
      <c r="D987" s="80"/>
      <c r="E987" s="81"/>
      <c r="F987" s="81"/>
    </row>
    <row r="988" spans="4:6" ht="12.5" x14ac:dyDescent="0.25">
      <c r="D988" s="80"/>
      <c r="E988" s="81"/>
      <c r="F988" s="81"/>
    </row>
    <row r="989" spans="4:6" ht="12.5" x14ac:dyDescent="0.25">
      <c r="D989" s="80"/>
      <c r="E989" s="81"/>
      <c r="F989" s="81"/>
    </row>
    <row r="990" spans="4:6" ht="12.5" x14ac:dyDescent="0.25">
      <c r="D990" s="80"/>
      <c r="E990" s="81"/>
      <c r="F990" s="81"/>
    </row>
    <row r="991" spans="4:6" ht="12.5" x14ac:dyDescent="0.25">
      <c r="D991" s="80"/>
      <c r="E991" s="81"/>
      <c r="F991" s="81"/>
    </row>
    <row r="992" spans="4:6" ht="12.5" x14ac:dyDescent="0.25">
      <c r="D992" s="80"/>
      <c r="E992" s="81"/>
      <c r="F992" s="81"/>
    </row>
    <row r="993" spans="4:6" ht="12.5" x14ac:dyDescent="0.25">
      <c r="D993" s="80"/>
      <c r="E993" s="81"/>
      <c r="F993" s="81"/>
    </row>
    <row r="994" spans="4:6" ht="12.5" x14ac:dyDescent="0.25">
      <c r="D994" s="80"/>
      <c r="E994" s="81"/>
      <c r="F994" s="81"/>
    </row>
    <row r="995" spans="4:6" ht="12.5" x14ac:dyDescent="0.25">
      <c r="D995" s="80"/>
      <c r="E995" s="81"/>
      <c r="F995" s="81"/>
    </row>
    <row r="996" spans="4:6" ht="12.5" x14ac:dyDescent="0.25">
      <c r="D996" s="80"/>
      <c r="E996" s="81"/>
      <c r="F996" s="81"/>
    </row>
    <row r="997" spans="4:6" ht="12.5" x14ac:dyDescent="0.25">
      <c r="D997" s="80"/>
      <c r="E997" s="81"/>
      <c r="F997" s="81"/>
    </row>
    <row r="998" spans="4:6" ht="12.5" x14ac:dyDescent="0.25">
      <c r="D998" s="80"/>
      <c r="E998" s="81"/>
      <c r="F998" s="81"/>
    </row>
    <row r="999" spans="4:6" ht="12.5" x14ac:dyDescent="0.25">
      <c r="D999" s="80"/>
      <c r="E999" s="81"/>
      <c r="F999" s="81"/>
    </row>
    <row r="1000" spans="4:6" ht="12.5" x14ac:dyDescent="0.25">
      <c r="D1000" s="80"/>
      <c r="E1000" s="81"/>
      <c r="F1000" s="81"/>
    </row>
  </sheetData>
  <dataValidations count="1">
    <dataValidation type="list" allowBlank="1" showErrorMessage="1" sqref="E4:E18" xr:uid="{00000000-0002-0000-0200-000000000000}">
      <formula1>"PAVICONSTRUJC,EDUBAR-KRA50,PARQUES DE BOLIVAR,TACASUAN ,CONSORCIO VIVIENDAS,CORDOBA ,CONTECSA-ADMINISTRATIVO,PTAR-JUAN DE ACOSTA,PTAR-SANTO TOMAS,JMD,HIDROGUAJIRA ,COLEGIO GRUPO 2,COLEGIO GRUPO 5,CONSORCIO VIAL DE SUCRE,MOMPOX 21,CONTECSA- MAQUINARIA,CONT"&amp;"ECSA-CORDOBA,CONTECSA-MALLA VIAL CTG,CONTECSA-SANTO TOMAS,CONTECSA-VIVIENDAS,CONTECSA-VIPAR,CONTECSA- EDUBAR KRA 50,CONTECSA-OPERATIVO,CONSORCIO VIPAR,NA,CODAZZI,CONSORCIO REDES CCC,CONSORCIO ATL,CONTECSA- REDES CCC"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CONTROL DE COMPRAS </vt:lpstr>
      <vt:lpstr>DIRECCIONES DE OBRA </vt:lpstr>
      <vt:lpstr>CARTERAS VENCIADAS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</dc:creator>
  <cp:lastModifiedBy>Prof Administrativo</cp:lastModifiedBy>
  <dcterms:created xsi:type="dcterms:W3CDTF">2024-10-02T20:03:34Z</dcterms:created>
  <dcterms:modified xsi:type="dcterms:W3CDTF">2025-12-22T21:26:39Z</dcterms:modified>
</cp:coreProperties>
</file>